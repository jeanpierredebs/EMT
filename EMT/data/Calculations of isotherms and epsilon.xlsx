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My Drive\Research-Caen\2. Experimental characterizations\IR\EMT\"/>
    </mc:Choice>
  </mc:AlternateContent>
  <xr:revisionPtr revIDLastSave="0" documentId="13_ncr:1_{F43EAB61-4D85-4C1E-880C-658BA2E750E9}" xr6:coauthVersionLast="36" xr6:coauthVersionMax="36" xr10:uidLastSave="{00000000-0000-0000-0000-000000000000}"/>
  <bookViews>
    <workbookView xWindow="0" yWindow="0" windowWidth="7215" windowHeight="10395" activeTab="1" xr2:uid="{00000000-000D-0000-FFFF-FFFF00000000}"/>
  </bookViews>
  <sheets>
    <sheet name="CH3OH" sheetId="1" r:id="rId1"/>
    <sheet name="Toluene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2" l="1"/>
  <c r="G9" i="2"/>
  <c r="G10" i="2"/>
  <c r="G11" i="2"/>
  <c r="G12" i="2"/>
  <c r="G13" i="2"/>
  <c r="G14" i="2"/>
  <c r="G15" i="2"/>
  <c r="G7" i="2"/>
  <c r="I44" i="2"/>
  <c r="I43" i="2"/>
  <c r="I42" i="2"/>
  <c r="I41" i="2"/>
  <c r="I45" i="2"/>
  <c r="I46" i="2" s="1"/>
  <c r="I47" i="2" s="1"/>
  <c r="I48" i="2" s="1"/>
  <c r="I49" i="2" s="1"/>
  <c r="I40" i="2"/>
  <c r="J40" i="2" s="1"/>
  <c r="K40" i="2" s="1"/>
  <c r="M49" i="2"/>
  <c r="N49" i="2" s="1"/>
  <c r="M48" i="2"/>
  <c r="N48" i="2" s="1"/>
  <c r="M47" i="2"/>
  <c r="N47" i="2" s="1"/>
  <c r="M46" i="2"/>
  <c r="N46" i="2" s="1"/>
  <c r="M45" i="2"/>
  <c r="N45" i="2" s="1"/>
  <c r="M44" i="2"/>
  <c r="N44" i="2" s="1"/>
  <c r="M43" i="2"/>
  <c r="N43" i="2" s="1"/>
  <c r="M42" i="2"/>
  <c r="N42" i="2" s="1"/>
  <c r="M41" i="2"/>
  <c r="N41" i="2" s="1"/>
  <c r="M40" i="2"/>
  <c r="N40" i="2" s="1"/>
  <c r="AD31" i="2"/>
  <c r="E31" i="2"/>
  <c r="F31" i="2" s="1"/>
  <c r="AD30" i="2"/>
  <c r="AE30" i="2" s="1"/>
  <c r="E30" i="2"/>
  <c r="F30" i="2" s="1"/>
  <c r="AD29" i="2"/>
  <c r="AE29" i="2" s="1"/>
  <c r="E29" i="2"/>
  <c r="AD28" i="2"/>
  <c r="E28" i="2"/>
  <c r="F28" i="2" s="1"/>
  <c r="AD27" i="2"/>
  <c r="AE27" i="2" s="1"/>
  <c r="E27" i="2"/>
  <c r="F27" i="2" s="1"/>
  <c r="AD26" i="2"/>
  <c r="AE26" i="2" s="1"/>
  <c r="E26" i="2"/>
  <c r="AD25" i="2"/>
  <c r="E25" i="2"/>
  <c r="F25" i="2" s="1"/>
  <c r="AD24" i="2"/>
  <c r="AE24" i="2" s="1"/>
  <c r="E24" i="2"/>
  <c r="F24" i="2" s="1"/>
  <c r="AD23" i="2"/>
  <c r="AE23" i="2" s="1"/>
  <c r="E23" i="2"/>
  <c r="AQ22" i="2"/>
  <c r="AR22" i="2" s="1"/>
  <c r="AD22" i="2"/>
  <c r="AE22" i="2" s="1"/>
  <c r="E22" i="2"/>
  <c r="F22" i="2" s="1"/>
  <c r="AT21" i="2"/>
  <c r="AU21" i="2" s="1"/>
  <c r="AQ21" i="2"/>
  <c r="AR21" i="2" s="1"/>
  <c r="AD21" i="2"/>
  <c r="AE21" i="2" s="1"/>
  <c r="E21" i="2"/>
  <c r="F21" i="2" s="1"/>
  <c r="AT20" i="2"/>
  <c r="AU20" i="2" s="1"/>
  <c r="AQ20" i="2"/>
  <c r="AR20" i="2" s="1"/>
  <c r="AD20" i="2"/>
  <c r="AE20" i="2" s="1"/>
  <c r="E20" i="2"/>
  <c r="AQ19" i="2"/>
  <c r="AR19" i="2" s="1"/>
  <c r="AD19" i="2"/>
  <c r="AE19" i="2" s="1"/>
  <c r="E19" i="2"/>
  <c r="F19" i="2" s="1"/>
  <c r="AT18" i="2"/>
  <c r="AU18" i="2" s="1"/>
  <c r="AQ18" i="2"/>
  <c r="AR18" i="2" s="1"/>
  <c r="AD18" i="2"/>
  <c r="AE18" i="2" s="1"/>
  <c r="R18" i="2"/>
  <c r="S18" i="2" s="1"/>
  <c r="E18" i="2"/>
  <c r="F18" i="2" s="1"/>
  <c r="AT17" i="2"/>
  <c r="AU17" i="2" s="1"/>
  <c r="AR17" i="2"/>
  <c r="AQ17" i="2"/>
  <c r="AD17" i="2"/>
  <c r="AE17" i="2" s="1"/>
  <c r="U17" i="2"/>
  <c r="V17" i="2" s="1"/>
  <c r="R17" i="2"/>
  <c r="S17" i="2" s="1"/>
  <c r="E17" i="2"/>
  <c r="F17" i="2" s="1"/>
  <c r="AT16" i="2"/>
  <c r="AU16" i="2" s="1"/>
  <c r="AQ16" i="2"/>
  <c r="AR16" i="2" s="1"/>
  <c r="AD16" i="2"/>
  <c r="AE16" i="2" s="1"/>
  <c r="U16" i="2"/>
  <c r="V16" i="2" s="1"/>
  <c r="R16" i="2"/>
  <c r="S16" i="2" s="1"/>
  <c r="E16" i="2"/>
  <c r="F16" i="2" s="1"/>
  <c r="AT15" i="2"/>
  <c r="AU15" i="2" s="1"/>
  <c r="AQ15" i="2"/>
  <c r="AR15" i="2" s="1"/>
  <c r="AD15" i="2"/>
  <c r="AE15" i="2" s="1"/>
  <c r="R15" i="2"/>
  <c r="S15" i="2" s="1"/>
  <c r="M15" i="2"/>
  <c r="N15" i="2" s="1"/>
  <c r="E15" i="2"/>
  <c r="F15" i="2" s="1"/>
  <c r="AT14" i="2"/>
  <c r="AU14" i="2" s="1"/>
  <c r="AQ14" i="2"/>
  <c r="AR14" i="2" s="1"/>
  <c r="AL14" i="2"/>
  <c r="AM14" i="2" s="1"/>
  <c r="AD14" i="2"/>
  <c r="U14" i="2"/>
  <c r="V14" i="2" s="1"/>
  <c r="R14" i="2"/>
  <c r="S14" i="2" s="1"/>
  <c r="M14" i="2"/>
  <c r="N14" i="2" s="1"/>
  <c r="E14" i="2"/>
  <c r="F14" i="2" s="1"/>
  <c r="AT13" i="2"/>
  <c r="AU13" i="2" s="1"/>
  <c r="AQ13" i="2"/>
  <c r="AR13" i="2" s="1"/>
  <c r="AL13" i="2"/>
  <c r="AM13" i="2" s="1"/>
  <c r="AD13" i="2"/>
  <c r="AE13" i="2" s="1"/>
  <c r="R13" i="2"/>
  <c r="S13" i="2" s="1"/>
  <c r="E13" i="2"/>
  <c r="AQ12" i="2"/>
  <c r="AR12" i="2" s="1"/>
  <c r="AL12" i="2"/>
  <c r="AM12" i="2" s="1"/>
  <c r="AE12" i="2"/>
  <c r="AD12" i="2"/>
  <c r="R12" i="2"/>
  <c r="S12" i="2" s="1"/>
  <c r="M12" i="2"/>
  <c r="N12" i="2" s="1"/>
  <c r="E12" i="2"/>
  <c r="F12" i="2" s="1"/>
  <c r="AQ11" i="2"/>
  <c r="AR11" i="2" s="1"/>
  <c r="AL11" i="2"/>
  <c r="AM11" i="2" s="1"/>
  <c r="AD11" i="2"/>
  <c r="AE11" i="2" s="1"/>
  <c r="U11" i="2"/>
  <c r="V11" i="2" s="1"/>
  <c r="R11" i="2"/>
  <c r="S11" i="2" s="1"/>
  <c r="E11" i="2"/>
  <c r="F11" i="2" s="1"/>
  <c r="AT10" i="2"/>
  <c r="AU10" i="2" s="1"/>
  <c r="AQ10" i="2"/>
  <c r="AR10" i="2" s="1"/>
  <c r="AD10" i="2"/>
  <c r="AE10" i="2" s="1"/>
  <c r="U10" i="2"/>
  <c r="V10" i="2" s="1"/>
  <c r="R10" i="2"/>
  <c r="S10" i="2" s="1"/>
  <c r="E10" i="2"/>
  <c r="F10" i="2" s="1"/>
  <c r="AT9" i="2"/>
  <c r="AU9" i="2" s="1"/>
  <c r="AQ9" i="2"/>
  <c r="AR9" i="2" s="1"/>
  <c r="AD9" i="2"/>
  <c r="AE9" i="2" s="1"/>
  <c r="R9" i="2"/>
  <c r="S9" i="2" s="1"/>
  <c r="M9" i="2"/>
  <c r="N9" i="2" s="1"/>
  <c r="E9" i="2"/>
  <c r="F9" i="2" s="1"/>
  <c r="AT8" i="2"/>
  <c r="AU8" i="2" s="1"/>
  <c r="AQ8" i="2"/>
  <c r="AR8" i="2" s="1"/>
  <c r="AL8" i="2"/>
  <c r="AM8" i="2" s="1"/>
  <c r="AD8" i="2"/>
  <c r="U8" i="2"/>
  <c r="V8" i="2" s="1"/>
  <c r="R8" i="2"/>
  <c r="S8" i="2" s="1"/>
  <c r="M8" i="2"/>
  <c r="N8" i="2" s="1"/>
  <c r="E8" i="2"/>
  <c r="F8" i="2" s="1"/>
  <c r="AT7" i="2"/>
  <c r="AU7" i="2" s="1"/>
  <c r="AQ7" i="2"/>
  <c r="AR7" i="2" s="1"/>
  <c r="AL7" i="2"/>
  <c r="AM7" i="2" s="1"/>
  <c r="AD7" i="2"/>
  <c r="AE7" i="2" s="1"/>
  <c r="R7" i="2"/>
  <c r="S7" i="2" s="1"/>
  <c r="E7" i="2"/>
  <c r="F7" i="2" s="1"/>
  <c r="I7" i="2" s="1"/>
  <c r="J7" i="2" s="1"/>
  <c r="K7" i="2" s="1"/>
  <c r="AB3" i="2"/>
  <c r="AT22" i="2" s="1"/>
  <c r="AU22" i="2" s="1"/>
  <c r="C3" i="2"/>
  <c r="M16" i="2" s="1"/>
  <c r="N16" i="2" s="1"/>
  <c r="AD2" i="2"/>
  <c r="E2" i="2"/>
  <c r="AD1" i="2"/>
  <c r="E1" i="2"/>
  <c r="F29" i="2" s="1"/>
  <c r="J42" i="2" l="1"/>
  <c r="K42" i="2" s="1"/>
  <c r="J41" i="2"/>
  <c r="K41" i="2" s="1"/>
  <c r="AE31" i="2"/>
  <c r="AH7" i="2"/>
  <c r="AI7" i="2" s="1"/>
  <c r="AJ7" i="2" s="1"/>
  <c r="I8" i="2"/>
  <c r="AL9" i="2"/>
  <c r="AM9" i="2" s="1"/>
  <c r="AT11" i="2"/>
  <c r="AU11" i="2" s="1"/>
  <c r="AL15" i="2"/>
  <c r="AM15" i="2" s="1"/>
  <c r="F13" i="2"/>
  <c r="F20" i="2"/>
  <c r="F23" i="2"/>
  <c r="F26" i="2"/>
  <c r="M7" i="2"/>
  <c r="N7" i="2" s="1"/>
  <c r="U9" i="2"/>
  <c r="V9" i="2" s="1"/>
  <c r="M13" i="2"/>
  <c r="N13" i="2" s="1"/>
  <c r="U15" i="2"/>
  <c r="V15" i="2" s="1"/>
  <c r="U18" i="2"/>
  <c r="V18" i="2" s="1"/>
  <c r="U7" i="2"/>
  <c r="V7" i="2" s="1"/>
  <c r="M11" i="2"/>
  <c r="N11" i="2" s="1"/>
  <c r="U13" i="2"/>
  <c r="V13" i="2" s="1"/>
  <c r="AE8" i="2"/>
  <c r="AH8" i="2" s="1"/>
  <c r="AL10" i="2"/>
  <c r="AM10" i="2" s="1"/>
  <c r="AT12" i="2"/>
  <c r="AU12" i="2" s="1"/>
  <c r="AE14" i="2"/>
  <c r="AL16" i="2"/>
  <c r="AM16" i="2" s="1"/>
  <c r="AT19" i="2"/>
  <c r="AU19" i="2" s="1"/>
  <c r="M10" i="2"/>
  <c r="N10" i="2" s="1"/>
  <c r="U12" i="2"/>
  <c r="V12" i="2" s="1"/>
  <c r="AE25" i="2"/>
  <c r="AE28" i="2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7" i="1"/>
  <c r="AT22" i="1"/>
  <c r="AT21" i="1"/>
  <c r="AT20" i="1"/>
  <c r="AT19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7" i="1"/>
  <c r="AD8" i="1"/>
  <c r="AD9" i="1"/>
  <c r="AE9" i="1" s="1"/>
  <c r="AD10" i="1"/>
  <c r="AD11" i="1"/>
  <c r="AE11" i="1" s="1"/>
  <c r="AD12" i="1"/>
  <c r="AD13" i="1"/>
  <c r="AD14" i="1"/>
  <c r="AD15" i="1"/>
  <c r="AD16" i="1"/>
  <c r="AD17" i="1"/>
  <c r="AE17" i="1" s="1"/>
  <c r="AD18" i="1"/>
  <c r="AD19" i="1"/>
  <c r="AE19" i="1" s="1"/>
  <c r="AD20" i="1"/>
  <c r="AD21" i="1"/>
  <c r="AE21" i="1" s="1"/>
  <c r="AD22" i="1"/>
  <c r="AD23" i="1"/>
  <c r="AD24" i="1"/>
  <c r="AE24" i="1" s="1"/>
  <c r="AD25" i="1"/>
  <c r="AD26" i="1"/>
  <c r="AD27" i="1"/>
  <c r="AD28" i="1"/>
  <c r="AD29" i="1"/>
  <c r="AD30" i="1"/>
  <c r="AD31" i="1"/>
  <c r="AE31" i="1" s="1"/>
  <c r="AD7" i="1"/>
  <c r="AE7" i="1" s="1"/>
  <c r="AT8" i="1"/>
  <c r="AT9" i="1"/>
  <c r="AT10" i="1"/>
  <c r="AT11" i="1"/>
  <c r="AT12" i="1"/>
  <c r="AT13" i="1"/>
  <c r="AT14" i="1"/>
  <c r="AT15" i="1"/>
  <c r="AT16" i="1"/>
  <c r="AT17" i="1"/>
  <c r="AT18" i="1"/>
  <c r="AT7" i="1"/>
  <c r="AL8" i="1"/>
  <c r="AM8" i="1" s="1"/>
  <c r="AL9" i="1"/>
  <c r="AM9" i="1" s="1"/>
  <c r="AL10" i="1"/>
  <c r="AM10" i="1" s="1"/>
  <c r="AL11" i="1"/>
  <c r="AM11" i="1" s="1"/>
  <c r="AL12" i="1"/>
  <c r="AM12" i="1" s="1"/>
  <c r="AL13" i="1"/>
  <c r="AM13" i="1" s="1"/>
  <c r="AL14" i="1"/>
  <c r="AM14" i="1" s="1"/>
  <c r="AL15" i="1"/>
  <c r="AM15" i="1" s="1"/>
  <c r="AL16" i="1"/>
  <c r="AM16" i="1" s="1"/>
  <c r="AL7" i="1"/>
  <c r="AM7" i="1" s="1"/>
  <c r="AE18" i="1"/>
  <c r="AE30" i="1"/>
  <c r="AE29" i="1"/>
  <c r="AE28" i="1"/>
  <c r="AE27" i="1"/>
  <c r="AE26" i="1"/>
  <c r="AE25" i="1"/>
  <c r="AE23" i="1"/>
  <c r="AE22" i="1"/>
  <c r="AE20" i="1"/>
  <c r="AE16" i="1"/>
  <c r="AE15" i="1"/>
  <c r="AE14" i="1"/>
  <c r="AE13" i="1"/>
  <c r="AE12" i="1"/>
  <c r="AE10" i="1"/>
  <c r="AE8" i="1"/>
  <c r="AR7" i="1"/>
  <c r="AB3" i="1"/>
  <c r="AD2" i="1"/>
  <c r="AD1" i="1"/>
  <c r="U8" i="1"/>
  <c r="V8" i="1" s="1"/>
  <c r="U11" i="1"/>
  <c r="V11" i="1" s="1"/>
  <c r="U13" i="1"/>
  <c r="V13" i="1" s="1"/>
  <c r="U18" i="1"/>
  <c r="V18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7" i="1"/>
  <c r="S7" i="1" s="1"/>
  <c r="N8" i="1"/>
  <c r="N11" i="1"/>
  <c r="N13" i="1"/>
  <c r="M8" i="1"/>
  <c r="M10" i="1"/>
  <c r="N10" i="1" s="1"/>
  <c r="M11" i="1"/>
  <c r="M13" i="1"/>
  <c r="M14" i="1"/>
  <c r="N14" i="1" s="1"/>
  <c r="M15" i="1"/>
  <c r="N15" i="1" s="1"/>
  <c r="C3" i="1"/>
  <c r="F17" i="1"/>
  <c r="F29" i="1"/>
  <c r="E2" i="1"/>
  <c r="E1" i="1"/>
  <c r="E8" i="1"/>
  <c r="E9" i="1"/>
  <c r="F9" i="1" s="1"/>
  <c r="E10" i="1"/>
  <c r="E11" i="1"/>
  <c r="F11" i="1" s="1"/>
  <c r="E12" i="1"/>
  <c r="F12" i="1" s="1"/>
  <c r="E13" i="1"/>
  <c r="F13" i="1" s="1"/>
  <c r="E14" i="1"/>
  <c r="F14" i="1" s="1"/>
  <c r="E15" i="1"/>
  <c r="E16" i="1"/>
  <c r="F16" i="1" s="1"/>
  <c r="E17" i="1"/>
  <c r="E18" i="1"/>
  <c r="F18" i="1" s="1"/>
  <c r="E19" i="1"/>
  <c r="F19" i="1" s="1"/>
  <c r="E20" i="1"/>
  <c r="E21" i="1"/>
  <c r="F21" i="1" s="1"/>
  <c r="E22" i="1"/>
  <c r="E23" i="1"/>
  <c r="F23" i="1" s="1"/>
  <c r="E24" i="1"/>
  <c r="F24" i="1" s="1"/>
  <c r="E25" i="1"/>
  <c r="F25" i="1" s="1"/>
  <c r="E26" i="1"/>
  <c r="F26" i="1" s="1"/>
  <c r="E27" i="1"/>
  <c r="E28" i="1"/>
  <c r="F28" i="1" s="1"/>
  <c r="E29" i="1"/>
  <c r="E30" i="1"/>
  <c r="F30" i="1" s="1"/>
  <c r="E31" i="1"/>
  <c r="F31" i="1" s="1"/>
  <c r="E7" i="1"/>
  <c r="J43" i="2" l="1"/>
  <c r="K43" i="2" s="1"/>
  <c r="AH9" i="2"/>
  <c r="AI8" i="2"/>
  <c r="AJ8" i="2" s="1"/>
  <c r="I9" i="2"/>
  <c r="J8" i="2"/>
  <c r="K8" i="2" s="1"/>
  <c r="AH7" i="1"/>
  <c r="AI7" i="1" s="1"/>
  <c r="AJ7" i="1" s="1"/>
  <c r="AH8" i="1"/>
  <c r="F22" i="1"/>
  <c r="U12" i="1"/>
  <c r="V12" i="1" s="1"/>
  <c r="F10" i="1"/>
  <c r="F7" i="1"/>
  <c r="F20" i="1"/>
  <c r="M12" i="1"/>
  <c r="N12" i="1" s="1"/>
  <c r="U10" i="1"/>
  <c r="V10" i="1" s="1"/>
  <c r="F8" i="1"/>
  <c r="U9" i="1"/>
  <c r="V9" i="1" s="1"/>
  <c r="M9" i="1"/>
  <c r="N9" i="1" s="1"/>
  <c r="U7" i="1"/>
  <c r="V7" i="1" s="1"/>
  <c r="F15" i="1"/>
  <c r="U17" i="1"/>
  <c r="V17" i="1" s="1"/>
  <c r="U16" i="1"/>
  <c r="V16" i="1" s="1"/>
  <c r="F27" i="1"/>
  <c r="M7" i="1"/>
  <c r="N7" i="1" s="1"/>
  <c r="U15" i="1"/>
  <c r="V15" i="1" s="1"/>
  <c r="M16" i="1"/>
  <c r="N16" i="1" s="1"/>
  <c r="U14" i="1"/>
  <c r="V14" i="1" s="1"/>
  <c r="J44" i="2" l="1"/>
  <c r="K44" i="2" s="1"/>
  <c r="I10" i="2"/>
  <c r="J9" i="2"/>
  <c r="K9" i="2" s="1"/>
  <c r="AH10" i="2"/>
  <c r="AI9" i="2"/>
  <c r="AJ9" i="2" s="1"/>
  <c r="AI8" i="1"/>
  <c r="AJ8" i="1" s="1"/>
  <c r="AH9" i="1"/>
  <c r="I8" i="1"/>
  <c r="I7" i="1"/>
  <c r="J7" i="1" s="1"/>
  <c r="K7" i="1" s="1"/>
  <c r="J45" i="2" l="1"/>
  <c r="K45" i="2" s="1"/>
  <c r="I11" i="2"/>
  <c r="J10" i="2"/>
  <c r="K10" i="2" s="1"/>
  <c r="AI10" i="2"/>
  <c r="AJ10" i="2" s="1"/>
  <c r="AH11" i="2"/>
  <c r="AI9" i="1"/>
  <c r="AJ9" i="1" s="1"/>
  <c r="AH10" i="1"/>
  <c r="I9" i="1"/>
  <c r="J8" i="1"/>
  <c r="K8" i="1" s="1"/>
  <c r="J46" i="2" l="1"/>
  <c r="K46" i="2" s="1"/>
  <c r="J11" i="2"/>
  <c r="K11" i="2" s="1"/>
  <c r="I12" i="2"/>
  <c r="AI11" i="2"/>
  <c r="AJ11" i="2" s="1"/>
  <c r="AH12" i="2"/>
  <c r="AH11" i="1"/>
  <c r="AI10" i="1"/>
  <c r="AJ10" i="1" s="1"/>
  <c r="J9" i="1"/>
  <c r="K9" i="1" s="1"/>
  <c r="I10" i="1"/>
  <c r="J47" i="2" l="1"/>
  <c r="K47" i="2" s="1"/>
  <c r="AI12" i="2"/>
  <c r="AJ12" i="2" s="1"/>
  <c r="AH13" i="2"/>
  <c r="J12" i="2"/>
  <c r="K12" i="2" s="1"/>
  <c r="I13" i="2"/>
  <c r="AI11" i="1"/>
  <c r="AJ11" i="1" s="1"/>
  <c r="AH12" i="1"/>
  <c r="I11" i="1"/>
  <c r="J10" i="1"/>
  <c r="K10" i="1" s="1"/>
  <c r="J49" i="2" l="1"/>
  <c r="K49" i="2" s="1"/>
  <c r="J48" i="2"/>
  <c r="K48" i="2" s="1"/>
  <c r="AH14" i="2"/>
  <c r="AI13" i="2"/>
  <c r="AJ13" i="2" s="1"/>
  <c r="J13" i="2"/>
  <c r="K13" i="2" s="1"/>
  <c r="I14" i="2"/>
  <c r="AI12" i="1"/>
  <c r="AJ12" i="1" s="1"/>
  <c r="AH13" i="1"/>
  <c r="J11" i="1"/>
  <c r="K11" i="1" s="1"/>
  <c r="I12" i="1"/>
  <c r="I15" i="2" l="1"/>
  <c r="J14" i="2"/>
  <c r="K14" i="2" s="1"/>
  <c r="AH15" i="2"/>
  <c r="AI14" i="2"/>
  <c r="AJ14" i="2" s="1"/>
  <c r="AI13" i="1"/>
  <c r="AJ13" i="1" s="1"/>
  <c r="AH14" i="1"/>
  <c r="I13" i="1"/>
  <c r="J12" i="1"/>
  <c r="K12" i="1" s="1"/>
  <c r="AI15" i="2" l="1"/>
  <c r="AJ15" i="2" s="1"/>
  <c r="AH16" i="2"/>
  <c r="AI16" i="2" s="1"/>
  <c r="AJ16" i="2" s="1"/>
  <c r="J15" i="2"/>
  <c r="K15" i="2" s="1"/>
  <c r="I16" i="2"/>
  <c r="J16" i="2" s="1"/>
  <c r="K16" i="2" s="1"/>
  <c r="AI14" i="1"/>
  <c r="AJ14" i="1" s="1"/>
  <c r="AH15" i="1"/>
  <c r="I14" i="1"/>
  <c r="J13" i="1"/>
  <c r="K13" i="1" s="1"/>
  <c r="AI15" i="1" l="1"/>
  <c r="AJ15" i="1" s="1"/>
  <c r="AH16" i="1"/>
  <c r="AI16" i="1" s="1"/>
  <c r="AJ16" i="1" s="1"/>
  <c r="I15" i="1"/>
  <c r="J14" i="1"/>
  <c r="K14" i="1" s="1"/>
  <c r="I16" i="1" l="1"/>
  <c r="J16" i="1" s="1"/>
  <c r="K16" i="1" s="1"/>
  <c r="J15" i="1"/>
  <c r="K15" i="1" s="1"/>
</calcChain>
</file>

<file path=xl/sharedStrings.xml><?xml version="1.0" encoding="utf-8"?>
<sst xmlns="http://schemas.openxmlformats.org/spreadsheetml/2006/main" count="269" uniqueCount="65">
  <si>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</si>
  <si>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</si>
  <si>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</si>
  <si>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</si>
  <si>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</si>
  <si>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</si>
  <si>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</si>
  <si>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</si>
  <si>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</si>
  <si>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</si>
  <si>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</si>
  <si>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</si>
  <si>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</si>
  <si>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</si>
  <si>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</si>
  <si>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</si>
  <si>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</si>
  <si>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</si>
  <si>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</si>
  <si>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</si>
  <si>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</si>
  <si>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</si>
  <si>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</si>
  <si>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</si>
  <si>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</si>
  <si>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Pressure/torr</t>
  </si>
  <si>
    <t>V/cm3</t>
  </si>
  <si>
    <t>Pressure/Pascal</t>
  </si>
  <si>
    <t>V/m3</t>
  </si>
  <si>
    <t>T/K</t>
  </si>
  <si>
    <t>mol CH3OH</t>
  </si>
  <si>
    <t>R/J K-1 mol-1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</si>
  <si>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</si>
  <si>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</si>
  <si>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</si>
  <si>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</si>
  <si>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</si>
  <si>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</si>
  <si>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</si>
  <si>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</si>
  <si>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</si>
  <si>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</si>
  <si>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mmol CH3OH</t>
  </si>
  <si>
    <t>au cm-1</t>
  </si>
  <si>
    <t>Mass/mg</t>
  </si>
  <si>
    <t>mmol CH3OH/g of zeolite</t>
  </si>
  <si>
    <t>mass/g</t>
  </si>
  <si>
    <t>au cm-1 g-1</t>
  </si>
  <si>
    <t>2.01 * FTIR</t>
  </si>
  <si>
    <t>P/torr</t>
  </si>
  <si>
    <t xml:space="preserve">P* @ 25C/torr </t>
  </si>
  <si>
    <t xml:space="preserve">P* @ 25C/kPa </t>
  </si>
  <si>
    <t>P/kPa</t>
  </si>
  <si>
    <t>P/Pa</t>
  </si>
  <si>
    <t>#</t>
  </si>
  <si>
    <t>Eps/ a.u. cm mmol-1</t>
  </si>
  <si>
    <t>epsilon</t>
  </si>
  <si>
    <t>Isotherm</t>
  </si>
  <si>
    <t>Na-EMT-V2-01</t>
  </si>
  <si>
    <t>K-EMT-V2-01</t>
  </si>
  <si>
    <t>Pressure/mbar</t>
  </si>
  <si>
    <t>P/mbar</t>
  </si>
  <si>
    <t>mmol Toluene</t>
  </si>
  <si>
    <t>mmol Toluene/g of zeolite</t>
  </si>
  <si>
    <t>mol Toluene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</si>
</sst>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3" borderId="2" xfId="0" applyFont="1" applyFill="1" applyBorder="1"/>
    <xf numFmtId="2" fontId="0" fillId="3" borderId="1" xfId="0" applyNumberForma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0" fillId="4" borderId="0" xfId="0" applyFill="1"/>
    <xf numFmtId="0" fontId="2" fillId="0" borderId="0" xfId="0" applyFont="1" applyAlignment="1">
      <alignment horizontal="center" vertical="center"/>
    </xf>
    <xf numFmtId="0" fontId="1" fillId="2" borderId="0" xfId="0" applyFont="1" applyFill="1"/>
    <xf numFmtId="0" fontId="0" fillId="2" borderId="0" xfId="0" applyFill="1"/>
    <xf numFmtId="0" fontId="4" fillId="3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CH3OH</a:t>
            </a:r>
            <a:r>
              <a:rPr lang="en-US" baseline="0"/>
              <a:t> isotherms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17171296296296296"/>
          <c:w val="0.81987729658792652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v>Na-EMT-V2-01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CH3OH!$S$7:$S$18</c:f>
              <c:numCache>
                <c:formatCode>General</c:formatCode>
                <c:ptCount val="12"/>
                <c:pt idx="0">
                  <c:v>19.7317105232</c:v>
                </c:pt>
                <c:pt idx="1">
                  <c:v>20.2649999968</c:v>
                </c:pt>
                <c:pt idx="2">
                  <c:v>21.0649342072</c:v>
                </c:pt>
                <c:pt idx="3">
                  <c:v>21.998190786000002</c:v>
                </c:pt>
                <c:pt idx="4">
                  <c:v>23.598059206799999</c:v>
                </c:pt>
                <c:pt idx="5">
                  <c:v>24.931282890799999</c:v>
                </c:pt>
                <c:pt idx="6">
                  <c:v>30.797467100400002</c:v>
                </c:pt>
                <c:pt idx="7">
                  <c:v>38.663486835999997</c:v>
                </c:pt>
                <c:pt idx="8">
                  <c:v>46.262861834799992</c:v>
                </c:pt>
                <c:pt idx="9">
                  <c:v>57.195296043599996</c:v>
                </c:pt>
                <c:pt idx="10">
                  <c:v>68.661019726000006</c:v>
                </c:pt>
                <c:pt idx="11">
                  <c:v>96.9253618268</c:v>
                </c:pt>
              </c:numCache>
            </c:numRef>
          </c:xVal>
          <c:yVal>
            <c:numRef>
              <c:f>CH3OH!$V$7:$V$18</c:f>
              <c:numCache>
                <c:formatCode>0.00</c:formatCode>
                <c:ptCount val="12"/>
                <c:pt idx="0">
                  <c:v>1.5991035746480742</c:v>
                </c:pt>
                <c:pt idx="1">
                  <c:v>1.878464298960741</c:v>
                </c:pt>
                <c:pt idx="2">
                  <c:v>2.1086180385491144</c:v>
                </c:pt>
                <c:pt idx="3">
                  <c:v>2.3542003895686006</c:v>
                </c:pt>
                <c:pt idx="4">
                  <c:v>2.5340362844096416</c:v>
                </c:pt>
                <c:pt idx="5">
                  <c:v>2.7827455006791655</c:v>
                </c:pt>
                <c:pt idx="6">
                  <c:v>2.9274041614572712</c:v>
                </c:pt>
                <c:pt idx="7">
                  <c:v>3.0168078218300884</c:v>
                </c:pt>
                <c:pt idx="8">
                  <c:v>3.0569222115509787</c:v>
                </c:pt>
                <c:pt idx="9">
                  <c:v>3.1191303728412221</c:v>
                </c:pt>
                <c:pt idx="10">
                  <c:v>3.1058411955285585</c:v>
                </c:pt>
                <c:pt idx="11">
                  <c:v>3.1503990253416094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7-44E4-8B69-CE3095AEB820}"/>
            </c:ext>
          </c:extLst>
        </c:ser>
        <c:ser>
          <c:idx val="1"/>
          <c:order val="1"/>
          <c:tx>
            <c:v>K-EMT-V2-01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CH3OH!$AR$7:$AR$22</c:f>
              <c:numCache>
                <c:formatCode>General</c:formatCode>
                <c:ptCount val="16"/>
                <c:pt idx="0">
                  <c:v>6.9</c:v>
                </c:pt>
                <c:pt idx="1">
                  <c:v>7.4</c:v>
                </c:pt>
                <c:pt idx="2">
                  <c:v>8</c:v>
                </c:pt>
                <c:pt idx="3">
                  <c:v>8.6</c:v>
                </c:pt>
                <c:pt idx="4">
                  <c:v>10.9</c:v>
                </c:pt>
                <c:pt idx="5">
                  <c:v>11.4</c:v>
                </c:pt>
                <c:pt idx="6">
                  <c:v>12.1</c:v>
                </c:pt>
                <c:pt idx="7">
                  <c:v>12.700000000000001</c:v>
                </c:pt>
                <c:pt idx="8">
                  <c:v>13.3</c:v>
                </c:pt>
                <c:pt idx="9">
                  <c:v>13.900000000000002</c:v>
                </c:pt>
                <c:pt idx="10">
                  <c:v>15</c:v>
                </c:pt>
                <c:pt idx="11">
                  <c:v>19.3</c:v>
                </c:pt>
                <c:pt idx="12">
                  <c:v>42.9</c:v>
                </c:pt>
                <c:pt idx="13">
                  <c:v>112.30000000000001</c:v>
                </c:pt>
                <c:pt idx="14">
                  <c:v>201.7</c:v>
                </c:pt>
                <c:pt idx="15">
                  <c:v>316.5</c:v>
                </c:pt>
              </c:numCache>
            </c:numRef>
          </c:xVal>
          <c:yVal>
            <c:numRef>
              <c:f>CH3OH!$AU$7:$AU$22</c:f>
              <c:numCache>
                <c:formatCode>0.00</c:formatCode>
                <c:ptCount val="16"/>
                <c:pt idx="0">
                  <c:v>0.66020058503969903</c:v>
                </c:pt>
                <c:pt idx="1">
                  <c:v>0</c:v>
                </c:pt>
                <c:pt idx="2">
                  <c:v>0.73600177388130339</c:v>
                </c:pt>
                <c:pt idx="3">
                  <c:v>0.93422993936396115</c:v>
                </c:pt>
                <c:pt idx="4">
                  <c:v>1.0539142226050469</c:v>
                </c:pt>
                <c:pt idx="5">
                  <c:v>1.121761600586745</c:v>
                </c:pt>
                <c:pt idx="6">
                  <c:v>1.1839521734310101</c:v>
                </c:pt>
                <c:pt idx="7">
                  <c:v>1.3888999377435887</c:v>
                </c:pt>
                <c:pt idx="8">
                  <c:v>1.434154378843054</c:v>
                </c:pt>
                <c:pt idx="9">
                  <c:v>1.5483532752842044</c:v>
                </c:pt>
                <c:pt idx="10">
                  <c:v>1.9055890906299833</c:v>
                </c:pt>
                <c:pt idx="11">
                  <c:v>2.3899830287317601</c:v>
                </c:pt>
                <c:pt idx="12">
                  <c:v>2.7833195459546123</c:v>
                </c:pt>
                <c:pt idx="13">
                  <c:v>3.062971421748808</c:v>
                </c:pt>
                <c:pt idx="14">
                  <c:v>3.203191621822151</c:v>
                </c:pt>
                <c:pt idx="15">
                  <c:v>3.2843753464611916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D7-44E4-8B69-CE3095AEB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269679"/>
        <c:axId val="802262991"/>
      </c:scatterChart>
      <c:valAx>
        <c:axId val="116326967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Pressure/Pa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62991"/>
        <c:crosses val="autoZero"/>
        <c:crossBetween val="midCat"/>
      </c:valAx>
      <c:valAx>
        <c:axId val="80226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Amount adsorbed</a:t>
                </a:r>
                <a:r>
                  <a:rPr lang="en-GB" baseline="0"/>
                  <a:t> per g of zeolite/mmol g-1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"/>
              <c:y val="0.102268518518518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69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4116360454944"/>
          <c:y val="0.58614537766112573"/>
          <c:w val="0.1931439195100612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Toluene</a:t>
            </a:r>
            <a:r>
              <a:rPr lang="en-US" baseline="0"/>
              <a:t> isotherms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17171296296296296"/>
          <c:w val="0.81987729658792652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v>Na-EMT-V2-01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CH3OH!$S$7:$S$18</c:f>
              <c:numCache>
                <c:formatCode>General</c:formatCode>
                <c:ptCount val="12"/>
                <c:pt idx="0">
                  <c:v>19.7317105232</c:v>
                </c:pt>
                <c:pt idx="1">
                  <c:v>20.2649999968</c:v>
                </c:pt>
                <c:pt idx="2">
                  <c:v>21.0649342072</c:v>
                </c:pt>
                <c:pt idx="3">
                  <c:v>21.998190786000002</c:v>
                </c:pt>
                <c:pt idx="4">
                  <c:v>23.598059206799999</c:v>
                </c:pt>
                <c:pt idx="5">
                  <c:v>24.931282890799999</c:v>
                </c:pt>
                <c:pt idx="6">
                  <c:v>30.797467100400002</c:v>
                </c:pt>
                <c:pt idx="7">
                  <c:v>38.663486835999997</c:v>
                </c:pt>
                <c:pt idx="8">
                  <c:v>46.262861834799992</c:v>
                </c:pt>
                <c:pt idx="9">
                  <c:v>57.195296043599996</c:v>
                </c:pt>
                <c:pt idx="10">
                  <c:v>68.661019726000006</c:v>
                </c:pt>
                <c:pt idx="11">
                  <c:v>96.9253618268</c:v>
                </c:pt>
              </c:numCache>
            </c:numRef>
          </c:xVal>
          <c:yVal>
            <c:numRef>
              <c:f>CH3OH!$V$7:$V$18</c:f>
              <c:numCache>
                <c:formatCode>0.00</c:formatCode>
                <c:ptCount val="12"/>
                <c:pt idx="0">
                  <c:v>1.5991035746480742</c:v>
                </c:pt>
                <c:pt idx="1">
                  <c:v>1.878464298960741</c:v>
                </c:pt>
                <c:pt idx="2">
                  <c:v>2.1086180385491144</c:v>
                </c:pt>
                <c:pt idx="3">
                  <c:v>2.3542003895686006</c:v>
                </c:pt>
                <c:pt idx="4">
                  <c:v>2.5340362844096416</c:v>
                </c:pt>
                <c:pt idx="5">
                  <c:v>2.7827455006791655</c:v>
                </c:pt>
                <c:pt idx="6">
                  <c:v>2.9274041614572712</c:v>
                </c:pt>
                <c:pt idx="7">
                  <c:v>3.0168078218300884</c:v>
                </c:pt>
                <c:pt idx="8">
                  <c:v>3.0569222115509787</c:v>
                </c:pt>
                <c:pt idx="9">
                  <c:v>3.1191303728412221</c:v>
                </c:pt>
                <c:pt idx="10">
                  <c:v>3.1058411955285585</c:v>
                </c:pt>
                <c:pt idx="11">
                  <c:v>3.1503990253416094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36-4544-86D5-3C9F7514022D}"/>
            </c:ext>
          </c:extLst>
        </c:ser>
        <c:ser>
          <c:idx val="1"/>
          <c:order val="1"/>
          <c:tx>
            <c:v>K-EMT-V2-01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CH3OH!$AR$7:$AR$22</c:f>
              <c:numCache>
                <c:formatCode>General</c:formatCode>
                <c:ptCount val="16"/>
                <c:pt idx="0">
                  <c:v>6.9</c:v>
                </c:pt>
                <c:pt idx="1">
                  <c:v>7.4</c:v>
                </c:pt>
                <c:pt idx="2">
                  <c:v>8</c:v>
                </c:pt>
                <c:pt idx="3">
                  <c:v>8.6</c:v>
                </c:pt>
                <c:pt idx="4">
                  <c:v>10.9</c:v>
                </c:pt>
                <c:pt idx="5">
                  <c:v>11.4</c:v>
                </c:pt>
                <c:pt idx="6">
                  <c:v>12.1</c:v>
                </c:pt>
                <c:pt idx="7">
                  <c:v>12.700000000000001</c:v>
                </c:pt>
                <c:pt idx="8">
                  <c:v>13.3</c:v>
                </c:pt>
                <c:pt idx="9">
                  <c:v>13.900000000000002</c:v>
                </c:pt>
                <c:pt idx="10">
                  <c:v>15</c:v>
                </c:pt>
                <c:pt idx="11">
                  <c:v>19.3</c:v>
                </c:pt>
                <c:pt idx="12">
                  <c:v>42.9</c:v>
                </c:pt>
                <c:pt idx="13">
                  <c:v>112.30000000000001</c:v>
                </c:pt>
                <c:pt idx="14">
                  <c:v>201.7</c:v>
                </c:pt>
                <c:pt idx="15">
                  <c:v>316.5</c:v>
                </c:pt>
              </c:numCache>
            </c:numRef>
          </c:xVal>
          <c:yVal>
            <c:numRef>
              <c:f>CH3OH!$AU$7:$AU$22</c:f>
              <c:numCache>
                <c:formatCode>0.00</c:formatCode>
                <c:ptCount val="16"/>
                <c:pt idx="0">
                  <c:v>0.66020058503969903</c:v>
                </c:pt>
                <c:pt idx="1">
                  <c:v>0</c:v>
                </c:pt>
                <c:pt idx="2">
                  <c:v>0.73600177388130339</c:v>
                </c:pt>
                <c:pt idx="3">
                  <c:v>0.93422993936396115</c:v>
                </c:pt>
                <c:pt idx="4">
                  <c:v>1.0539142226050469</c:v>
                </c:pt>
                <c:pt idx="5">
                  <c:v>1.121761600586745</c:v>
                </c:pt>
                <c:pt idx="6">
                  <c:v>1.1839521734310101</c:v>
                </c:pt>
                <c:pt idx="7">
                  <c:v>1.3888999377435887</c:v>
                </c:pt>
                <c:pt idx="8">
                  <c:v>1.434154378843054</c:v>
                </c:pt>
                <c:pt idx="9">
                  <c:v>1.5483532752842044</c:v>
                </c:pt>
                <c:pt idx="10">
                  <c:v>1.9055890906299833</c:v>
                </c:pt>
                <c:pt idx="11">
                  <c:v>2.3899830287317601</c:v>
                </c:pt>
                <c:pt idx="12">
                  <c:v>2.7833195459546123</c:v>
                </c:pt>
                <c:pt idx="13">
                  <c:v>3.062971421748808</c:v>
                </c:pt>
                <c:pt idx="14">
                  <c:v>3.203191621822151</c:v>
                </c:pt>
                <c:pt idx="15">
                  <c:v>3.2843753464611916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36-4544-86D5-3C9F75140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269679"/>
        <c:axId val="802262991"/>
      </c:scatterChart>
      <c:valAx>
        <c:axId val="116326967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Pressure/Pa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262991"/>
        <c:crosses val="autoZero"/>
        <c:crossBetween val="midCat"/>
      </c:valAx>
      <c:valAx>
        <c:axId val="80226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Amount adsorbed</a:t>
                </a:r>
                <a:r>
                  <a:rPr lang="en-GB" baseline="0"/>
                  <a:t> per g of zeolite/mmol g-1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"/>
              <c:y val="0.102268518518518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69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4116360454944"/>
          <c:y val="0.58614537766112573"/>
          <c:w val="0.1931439195100612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914260717410323E-2"/>
          <c:y val="0.17171296296296296"/>
          <c:w val="0.8755997375328084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Na-EMT_3150-2780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2578718285214349"/>
                  <c:y val="2.736111111111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Toluene!$K$7:$K$15</c:f>
              <c:numCache>
                <c:formatCode>General</c:formatCode>
                <c:ptCount val="9"/>
                <c:pt idx="0">
                  <c:v>6.3453472486180662E-2</c:v>
                </c:pt>
                <c:pt idx="1">
                  <c:v>0.1263329939649486</c:v>
                </c:pt>
                <c:pt idx="2">
                  <c:v>0.18857479210214692</c:v>
                </c:pt>
                <c:pt idx="3">
                  <c:v>0.25037018390024646</c:v>
                </c:pt>
                <c:pt idx="4">
                  <c:v>0.31171916935924732</c:v>
                </c:pt>
                <c:pt idx="5">
                  <c:v>0.4329503765916386</c:v>
                </c:pt>
                <c:pt idx="6">
                  <c:v>0.55258727547010589</c:v>
                </c:pt>
                <c:pt idx="7">
                  <c:v>0.78656796949201224</c:v>
                </c:pt>
                <c:pt idx="8">
                  <c:v>1.0141076577640653</c:v>
                </c:pt>
              </c:numCache>
            </c:numRef>
          </c:xVal>
          <c:yVal>
            <c:numRef>
              <c:f>Toluene!$N$7:$N$15</c:f>
              <c:numCache>
                <c:formatCode>General</c:formatCode>
                <c:ptCount val="9"/>
                <c:pt idx="0">
                  <c:v>275.97799097065462</c:v>
                </c:pt>
                <c:pt idx="1">
                  <c:v>517.28007900677187</c:v>
                </c:pt>
                <c:pt idx="2">
                  <c:v>754.20372460496606</c:v>
                </c:pt>
                <c:pt idx="3">
                  <c:v>978.68397291196379</c:v>
                </c:pt>
                <c:pt idx="4">
                  <c:v>1210.8775395033861</c:v>
                </c:pt>
                <c:pt idx="5">
                  <c:v>1656.2082392776522</c:v>
                </c:pt>
                <c:pt idx="6">
                  <c:v>2097.2285553047404</c:v>
                </c:pt>
                <c:pt idx="7">
                  <c:v>2997.3047404063204</c:v>
                </c:pt>
                <c:pt idx="8">
                  <c:v>3585.7855530474035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6A-40F9-8BA7-E837B3A8B049}"/>
            </c:ext>
          </c:extLst>
        </c:ser>
        <c:ser>
          <c:idx val="1"/>
          <c:order val="1"/>
          <c:tx>
            <c:v>Na-EMT_1625-1570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6.4673665791776025E-2"/>
                  <c:y val="-8.17246281714786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Toluene!$K$40:$K$48</c:f>
              <c:numCache>
                <c:formatCode>General</c:formatCode>
                <c:ptCount val="9"/>
                <c:pt idx="0">
                  <c:v>6.3453472486180662E-2</c:v>
                </c:pt>
                <c:pt idx="1">
                  <c:v>0.1263329939649486</c:v>
                </c:pt>
                <c:pt idx="2">
                  <c:v>0.18857479210214692</c:v>
                </c:pt>
                <c:pt idx="3">
                  <c:v>0.25037018390024646</c:v>
                </c:pt>
                <c:pt idx="4">
                  <c:v>0.31171916935924732</c:v>
                </c:pt>
                <c:pt idx="5">
                  <c:v>0.4329503765916386</c:v>
                </c:pt>
                <c:pt idx="6">
                  <c:v>0.55258727547010589</c:v>
                </c:pt>
                <c:pt idx="7">
                  <c:v>0.78656796949201224</c:v>
                </c:pt>
                <c:pt idx="8">
                  <c:v>1.0141076577640653</c:v>
                </c:pt>
              </c:numCache>
            </c:numRef>
          </c:xVal>
          <c:yVal>
            <c:numRef>
              <c:f>Toluene!$N$40:$N$48</c:f>
              <c:numCache>
                <c:formatCode>General</c:formatCode>
                <c:ptCount val="9"/>
                <c:pt idx="0">
                  <c:v>21.325056433408573</c:v>
                </c:pt>
                <c:pt idx="1">
                  <c:v>42.650112866817146</c:v>
                </c:pt>
                <c:pt idx="2">
                  <c:v>63.408013544018061</c:v>
                </c:pt>
                <c:pt idx="3">
                  <c:v>82.691309255079005</c:v>
                </c:pt>
                <c:pt idx="4">
                  <c:v>102.65519187358916</c:v>
                </c:pt>
                <c:pt idx="5">
                  <c:v>142.1292325056433</c:v>
                </c:pt>
                <c:pt idx="6">
                  <c:v>179.22121896162528</c:v>
                </c:pt>
                <c:pt idx="7">
                  <c:v>253.97234762979681</c:v>
                </c:pt>
                <c:pt idx="8">
                  <c:v>309.78047404063204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6A-40F9-8BA7-E837B3A8B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176688"/>
        <c:axId val="48141920"/>
      </c:scatterChart>
      <c:valAx>
        <c:axId val="21917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1920"/>
        <c:crosses val="autoZero"/>
        <c:crossBetween val="midCat"/>
      </c:valAx>
      <c:valAx>
        <c:axId val="4814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7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2333245844269471"/>
          <c:y val="0.48284594634004085"/>
          <c:w val="0.39333420822397208"/>
          <c:h val="0.118057742782152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419100</xdr:colOff>
      <xdr:row>19</xdr:row>
      <xdr:rowOff>144780</xdr:rowOff>
    </xdr:from>
    <xdr:to>
      <xdr:col>21</xdr:col>
      <xdr:colOff>1219200</xdr:colOff>
      <xdr:row>34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9BE0C7-C650-466F-80DE-38E9E1E02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419100</xdr:colOff>
      <xdr:row>19</xdr:row>
      <xdr:rowOff>144780</xdr:rowOff>
    </xdr:from>
    <xdr:to>
      <xdr:col>21</xdr:col>
      <xdr:colOff>1219200</xdr:colOff>
      <xdr:row>34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FA878-95D5-42F3-B8FF-58373D0EA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661987</xdr:colOff>
      <xdr:row>20</xdr:row>
      <xdr:rowOff>138112</xdr:rowOff>
    </xdr:from>
    <xdr:to>
      <xdr:col>13</xdr:col>
      <xdr:colOff>166687</xdr:colOff>
      <xdr:row>35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F6C6A8-6487-4069-B2AE-06B768B22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U31"/>
  <sheetViews>
    <sheetView workbookViewId="0">
      <selection activeCell="M35" sqref="M35"/>
    </sheetView>
  </sheetViews>
  <sheetFormatPr defaultRowHeight="15" x14ac:dyDescent="0.25"/>
  <cols>
    <col min="4" max="4" width="12.140625" bestFit="1" customWidth="1"/>
    <col min="5" max="5" width="14.28515625" bestFit="1" customWidth="1"/>
    <col min="6" max="6" width="12" bestFit="1" customWidth="1"/>
    <col min="7" max="7" width="18" bestFit="1" customWidth="1"/>
    <col min="8" max="8" width="10.140625" bestFit="1" customWidth="1"/>
    <col min="9" max="10" width="12" bestFit="1" customWidth="1"/>
    <col min="11" max="11" width="22.140625" bestFit="1" customWidth="1"/>
    <col min="13" max="13" width="10.5703125" bestFit="1" customWidth="1"/>
    <col min="14" max="14" width="10" bestFit="1" customWidth="1"/>
    <col min="21" max="21" width="10.5703125" bestFit="1" customWidth="1"/>
    <col min="22" max="22" width="22.140625" bestFit="1" customWidth="1"/>
    <col min="28" max="28" width="12.140625" bestFit="1" customWidth="1"/>
    <col min="29" max="30" width="14.28515625" bestFit="1" customWidth="1"/>
    <col min="31" max="31" width="12" bestFit="1" customWidth="1"/>
    <col min="32" max="32" width="18.7109375" bestFit="1" customWidth="1"/>
    <col min="33" max="33" width="12" bestFit="1" customWidth="1"/>
    <col min="34" max="34" width="12.28515625" bestFit="1" customWidth="1"/>
    <col min="35" max="36" width="22.5703125" bestFit="1" customWidth="1"/>
    <col min="37" max="39" width="12" bestFit="1" customWidth="1"/>
    <col min="41" max="41" width="6.140625" bestFit="1" customWidth="1"/>
    <col min="42" max="43" width="12" bestFit="1" customWidth="1"/>
    <col min="44" max="44" width="7.7109375" bestFit="1" customWidth="1"/>
    <col min="45" max="45" width="12" bestFit="1" customWidth="1"/>
    <col min="46" max="47" width="22.5703125" bestFit="1" customWidth="1"/>
  </cols>
  <sheetData>
    <row r="1" spans="2:47" x14ac:dyDescent="0.25">
      <c r="B1" s="2" t="s">
        <v>26</v>
      </c>
      <c r="C1">
        <v>2.1</v>
      </c>
      <c r="D1" s="2" t="s">
        <v>28</v>
      </c>
      <c r="E1">
        <f>C1*0.000001</f>
        <v>2.0999999999999998E-6</v>
      </c>
      <c r="G1" s="2" t="s">
        <v>50</v>
      </c>
      <c r="H1">
        <v>126.76</v>
      </c>
      <c r="AA1" s="2" t="s">
        <v>26</v>
      </c>
      <c r="AB1">
        <v>1.78</v>
      </c>
      <c r="AC1" s="2" t="s">
        <v>28</v>
      </c>
      <c r="AD1">
        <f>AB1*0.000001</f>
        <v>1.7799999999999999E-6</v>
      </c>
      <c r="AF1" s="2" t="s">
        <v>50</v>
      </c>
      <c r="AG1">
        <v>126.76</v>
      </c>
    </row>
    <row r="2" spans="2:47" ht="14.45" customHeight="1" x14ac:dyDescent="0.25">
      <c r="B2" s="2" t="s">
        <v>44</v>
      </c>
      <c r="C2">
        <v>17.72</v>
      </c>
      <c r="D2" s="2" t="s">
        <v>29</v>
      </c>
      <c r="E2">
        <f>25+273</f>
        <v>298</v>
      </c>
      <c r="G2" s="2" t="s">
        <v>51</v>
      </c>
      <c r="J2" s="13" t="s">
        <v>58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AA2" s="2" t="s">
        <v>44</v>
      </c>
      <c r="AB2">
        <v>24.5</v>
      </c>
      <c r="AC2" s="2" t="s">
        <v>29</v>
      </c>
      <c r="AD2">
        <f>25+273</f>
        <v>298</v>
      </c>
      <c r="AF2" s="2" t="s">
        <v>51</v>
      </c>
      <c r="AI2" s="13" t="s">
        <v>59</v>
      </c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 spans="2:47" ht="14.45" customHeight="1" x14ac:dyDescent="0.25">
      <c r="B3" s="2" t="s">
        <v>46</v>
      </c>
      <c r="C3">
        <f>C2/1000</f>
        <v>1.772E-2</v>
      </c>
      <c r="D3" s="2" t="s">
        <v>31</v>
      </c>
      <c r="E3">
        <v>8.3140000000000001</v>
      </c>
      <c r="G3" s="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AA3" s="2" t="s">
        <v>46</v>
      </c>
      <c r="AB3">
        <f>AB2/1000</f>
        <v>2.4500000000000001E-2</v>
      </c>
      <c r="AC3" s="2" t="s">
        <v>31</v>
      </c>
      <c r="AD3">
        <v>8.3140000000000001</v>
      </c>
      <c r="AF3" s="2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 spans="2:47" ht="14.45" customHeight="1" x14ac:dyDescent="0.25">
      <c r="G4" s="11" t="s">
        <v>55</v>
      </c>
      <c r="H4" s="12">
        <v>2757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AF4" s="11" t="s">
        <v>55</v>
      </c>
      <c r="AG4" s="12">
        <v>2393</v>
      </c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5" spans="2:47" x14ac:dyDescent="0.25">
      <c r="P5" t="s">
        <v>57</v>
      </c>
      <c r="AO5" t="s">
        <v>57</v>
      </c>
    </row>
    <row r="6" spans="2:47" x14ac:dyDescent="0.25">
      <c r="C6" s="1"/>
      <c r="D6" s="3" t="s">
        <v>25</v>
      </c>
      <c r="E6" s="5" t="s">
        <v>27</v>
      </c>
      <c r="F6" s="5" t="s">
        <v>30</v>
      </c>
      <c r="H6" s="7" t="s">
        <v>56</v>
      </c>
      <c r="I6" s="5" t="s">
        <v>30</v>
      </c>
      <c r="J6" s="5" t="s">
        <v>42</v>
      </c>
      <c r="K6" s="5" t="s">
        <v>45</v>
      </c>
      <c r="L6" s="9" t="s">
        <v>43</v>
      </c>
      <c r="M6" s="5" t="s">
        <v>47</v>
      </c>
      <c r="N6" s="5" t="s">
        <v>48</v>
      </c>
      <c r="P6" s="5" t="s">
        <v>54</v>
      </c>
      <c r="Q6" s="9" t="s">
        <v>49</v>
      </c>
      <c r="R6" s="5" t="s">
        <v>52</v>
      </c>
      <c r="S6" s="5" t="s">
        <v>53</v>
      </c>
      <c r="T6" s="9" t="s">
        <v>43</v>
      </c>
      <c r="U6" s="5" t="s">
        <v>47</v>
      </c>
      <c r="V6" s="5" t="s">
        <v>45</v>
      </c>
      <c r="AB6" s="1"/>
      <c r="AC6" s="3" t="s">
        <v>60</v>
      </c>
      <c r="AD6" s="5" t="s">
        <v>27</v>
      </c>
      <c r="AE6" s="5" t="s">
        <v>30</v>
      </c>
      <c r="AG6" s="7" t="s">
        <v>56</v>
      </c>
      <c r="AH6" s="5" t="s">
        <v>30</v>
      </c>
      <c r="AI6" s="5" t="s">
        <v>42</v>
      </c>
      <c r="AJ6" s="5" t="s">
        <v>45</v>
      </c>
      <c r="AK6" s="9" t="s">
        <v>43</v>
      </c>
      <c r="AL6" s="5" t="s">
        <v>47</v>
      </c>
      <c r="AM6" s="5" t="s">
        <v>48</v>
      </c>
      <c r="AO6" s="5" t="s">
        <v>54</v>
      </c>
      <c r="AP6" s="9" t="s">
        <v>61</v>
      </c>
      <c r="AQ6" s="5" t="s">
        <v>52</v>
      </c>
      <c r="AR6" s="5" t="s">
        <v>53</v>
      </c>
      <c r="AS6" s="9" t="s">
        <v>43</v>
      </c>
      <c r="AT6" s="5" t="s">
        <v>47</v>
      </c>
      <c r="AU6" s="5" t="s">
        <v>45</v>
      </c>
    </row>
    <row r="7" spans="2:47" x14ac:dyDescent="0.25">
      <c r="C7" s="5" t="s">
        <v>0</v>
      </c>
      <c r="D7" s="4">
        <v>6.54</v>
      </c>
      <c r="E7" s="6">
        <f>D7*133.32236842</f>
        <v>871.92828946680004</v>
      </c>
      <c r="F7" s="6">
        <f>(E7*$E$1)/($E$3*$E$2)</f>
        <v>7.3904992786497415E-7</v>
      </c>
      <c r="H7" s="5" t="s">
        <v>32</v>
      </c>
      <c r="I7" s="6">
        <f>F7</f>
        <v>7.3904992786497415E-7</v>
      </c>
      <c r="J7" s="6">
        <f>I7*1000</f>
        <v>7.3904992786497418E-4</v>
      </c>
      <c r="K7" s="6">
        <f>J7/$C$3</f>
        <v>4.1707106538655427E-2</v>
      </c>
      <c r="L7" s="10">
        <v>0.95799999999999996</v>
      </c>
      <c r="M7" s="6">
        <f>L7/$C$3</f>
        <v>54.063205417607222</v>
      </c>
      <c r="N7" s="6">
        <f>M7*2.01</f>
        <v>108.6670428893905</v>
      </c>
      <c r="P7" s="5">
        <v>1</v>
      </c>
      <c r="Q7" s="10">
        <v>0.14799999999999999</v>
      </c>
      <c r="R7" s="6">
        <f>Q7*0.1333223684</f>
        <v>1.97317105232E-2</v>
      </c>
      <c r="S7" s="6">
        <f>R7*1000</f>
        <v>19.7317105232</v>
      </c>
      <c r="T7" s="10">
        <v>38.866999999999997</v>
      </c>
      <c r="U7" s="6">
        <f>T7/$C$3</f>
        <v>2193.3972911963883</v>
      </c>
      <c r="V7" s="8">
        <f>(U7*2.01)/$H$4</f>
        <v>1.5991035746480742</v>
      </c>
      <c r="AB7" s="5" t="s">
        <v>0</v>
      </c>
      <c r="AC7" s="4">
        <v>7.5570000000000004</v>
      </c>
      <c r="AD7" s="6">
        <f>AC7*100</f>
        <v>755.7</v>
      </c>
      <c r="AE7" s="6">
        <f>(AD7*$AD$1)/($E$3*$E$2)</f>
        <v>5.4292912577313589E-7</v>
      </c>
      <c r="AG7" s="5" t="s">
        <v>32</v>
      </c>
      <c r="AH7" s="6">
        <f>AE7</f>
        <v>5.4292912577313589E-7</v>
      </c>
      <c r="AI7" s="6">
        <f>AH7*1000</f>
        <v>5.4292912577313588E-4</v>
      </c>
      <c r="AJ7" s="6">
        <f>AI7/$AB$3</f>
        <v>2.2160372480536157E-2</v>
      </c>
      <c r="AK7" s="10">
        <v>0.58699999999999997</v>
      </c>
      <c r="AL7" s="6">
        <f>AK7/$AB$3</f>
        <v>23.959183673469386</v>
      </c>
      <c r="AM7" s="6">
        <f>AL7*2.01</f>
        <v>48.157959183673462</v>
      </c>
      <c r="AO7" s="5">
        <v>1</v>
      </c>
      <c r="AP7" s="10">
        <v>6.9000000000000006E-2</v>
      </c>
      <c r="AQ7" s="6">
        <f>AP7*0.1</f>
        <v>6.9000000000000008E-3</v>
      </c>
      <c r="AR7" s="6">
        <f>AQ7*1000</f>
        <v>6.9</v>
      </c>
      <c r="AS7" s="10">
        <v>19.257000000000001</v>
      </c>
      <c r="AT7" s="6">
        <f>AS7/$AB$3</f>
        <v>786</v>
      </c>
      <c r="AU7" s="8">
        <f>(AT7*2.01)/$AG$4</f>
        <v>0.66020058503969903</v>
      </c>
    </row>
    <row r="8" spans="2:47" x14ac:dyDescent="0.25">
      <c r="C8" s="5" t="s">
        <v>1</v>
      </c>
      <c r="D8" s="4">
        <v>6.46</v>
      </c>
      <c r="E8" s="6">
        <f t="shared" ref="E8:E31" si="0">D8*133.32236842</f>
        <v>861.26249999319998</v>
      </c>
      <c r="F8" s="6">
        <f t="shared" ref="F8:F31" si="1">(E8*$E$1)/($E$3*$E$2)</f>
        <v>7.3000956177488263E-7</v>
      </c>
      <c r="H8" s="5" t="s">
        <v>33</v>
      </c>
      <c r="I8" s="6">
        <f>F7+F8</f>
        <v>1.4690594896398567E-6</v>
      </c>
      <c r="J8" s="6">
        <f t="shared" ref="J8:J16" si="2">I8*1000</f>
        <v>1.4690594896398566E-3</v>
      </c>
      <c r="K8" s="6">
        <f t="shared" ref="K8:K16" si="3">J8/$C$3</f>
        <v>8.290403440405511E-2</v>
      </c>
      <c r="L8" s="10">
        <v>1.95</v>
      </c>
      <c r="M8" s="6">
        <f t="shared" ref="M8:M16" si="4">L8/$C$3</f>
        <v>110.0451467268623</v>
      </c>
      <c r="N8" s="6">
        <f t="shared" ref="N8:N16" si="5">M8*2.01</f>
        <v>221.19074492099321</v>
      </c>
      <c r="P8" s="5">
        <v>2</v>
      </c>
      <c r="Q8" s="10">
        <v>0.152</v>
      </c>
      <c r="R8" s="6">
        <f t="shared" ref="R8:R18" si="6">Q8*0.1333223684</f>
        <v>2.0264999996799999E-2</v>
      </c>
      <c r="S8" s="6">
        <f t="shared" ref="S8:S18" si="7">R8*1000</f>
        <v>20.2649999968</v>
      </c>
      <c r="T8" s="10">
        <v>45.656999999999996</v>
      </c>
      <c r="U8" s="6">
        <f t="shared" ref="U8:U18" si="8">T8/$C$3</f>
        <v>2576.5801354401806</v>
      </c>
      <c r="V8" s="8">
        <f t="shared" ref="V8:V18" si="9">(U8*2.01)/$H$4</f>
        <v>1.878464298960741</v>
      </c>
      <c r="AB8" s="5" t="s">
        <v>1</v>
      </c>
      <c r="AC8" s="4">
        <v>7.4569999999999999</v>
      </c>
      <c r="AD8" s="6">
        <f t="shared" ref="AD8:AD31" si="10">AC8*100</f>
        <v>745.69999999999993</v>
      </c>
      <c r="AE8" s="6">
        <f t="shared" ref="AE8:AE31" si="11">(AD8*$AD$1)/($E$3*$E$2)</f>
        <v>5.3574467260689091E-7</v>
      </c>
      <c r="AG8" s="5" t="s">
        <v>33</v>
      </c>
      <c r="AH8" s="6">
        <f>AE7+AE8</f>
        <v>1.0786737983800268E-6</v>
      </c>
      <c r="AI8" s="6">
        <f t="shared" ref="AI8:AI16" si="12">AH8*1000</f>
        <v>1.0786737983800268E-3</v>
      </c>
      <c r="AJ8" s="6">
        <f t="shared" ref="AJ8:AJ16" si="13">AI8/$AB$3</f>
        <v>4.4027501974694974E-2</v>
      </c>
      <c r="AK8" s="10">
        <v>1.198</v>
      </c>
      <c r="AL8" s="6">
        <f t="shared" ref="AL8:AL16" si="14">AK8/$AB$3</f>
        <v>48.897959183673464</v>
      </c>
      <c r="AM8" s="6">
        <f t="shared" ref="AM8:AM16" si="15">AL8*2.01</f>
        <v>98.284897959183652</v>
      </c>
      <c r="AO8" s="5">
        <v>2</v>
      </c>
      <c r="AP8" s="10">
        <v>7.3999999999999996E-2</v>
      </c>
      <c r="AQ8" s="6">
        <f t="shared" ref="AQ8:AQ22" si="16">AP8*0.1</f>
        <v>7.4000000000000003E-3</v>
      </c>
      <c r="AR8" s="6">
        <f t="shared" ref="AR8:AR22" si="17">AQ8*1000</f>
        <v>7.4</v>
      </c>
      <c r="AS8" s="10"/>
      <c r="AT8" s="6">
        <f t="shared" ref="AT8:AT22" si="18">AS8/$AB$3</f>
        <v>0</v>
      </c>
      <c r="AU8" s="8">
        <f t="shared" ref="AU8:AU22" si="19">(AT8*2.01)/$AG$4</f>
        <v>0</v>
      </c>
    </row>
    <row r="9" spans="2:47" x14ac:dyDescent="0.25">
      <c r="C9" s="5" t="s">
        <v>2</v>
      </c>
      <c r="D9" s="4">
        <v>6.39</v>
      </c>
      <c r="E9" s="6">
        <f t="shared" si="0"/>
        <v>851.92993420380003</v>
      </c>
      <c r="F9" s="6">
        <f t="shared" si="1"/>
        <v>7.2209924144605267E-7</v>
      </c>
      <c r="H9" s="5" t="s">
        <v>34</v>
      </c>
      <c r="I9" s="6">
        <f>I8+F9</f>
        <v>2.1911587310859092E-6</v>
      </c>
      <c r="J9" s="6">
        <f t="shared" si="2"/>
        <v>2.1911587310859092E-3</v>
      </c>
      <c r="K9" s="6">
        <f t="shared" si="3"/>
        <v>0.12365455593035606</v>
      </c>
      <c r="L9" s="10">
        <v>2.952</v>
      </c>
      <c r="M9" s="6">
        <f t="shared" si="4"/>
        <v>166.59142212189616</v>
      </c>
      <c r="N9" s="6">
        <f t="shared" si="5"/>
        <v>334.84875846501126</v>
      </c>
      <c r="P9" s="5">
        <v>3</v>
      </c>
      <c r="Q9" s="10">
        <v>0.158</v>
      </c>
      <c r="R9" s="6">
        <f t="shared" si="6"/>
        <v>2.1064934207200001E-2</v>
      </c>
      <c r="S9" s="6">
        <f t="shared" si="7"/>
        <v>21.0649342072</v>
      </c>
      <c r="T9" s="10">
        <v>51.250999999999998</v>
      </c>
      <c r="U9" s="6">
        <f t="shared" si="8"/>
        <v>2892.2686230248305</v>
      </c>
      <c r="V9" s="8">
        <f t="shared" si="9"/>
        <v>2.1086180385491144</v>
      </c>
      <c r="AB9" s="5" t="s">
        <v>2</v>
      </c>
      <c r="AC9" s="4">
        <v>7.3710000000000004</v>
      </c>
      <c r="AD9" s="6">
        <f t="shared" si="10"/>
        <v>737.1</v>
      </c>
      <c r="AE9" s="6">
        <f t="shared" si="11"/>
        <v>5.2956604288392021E-7</v>
      </c>
      <c r="AG9" s="5" t="s">
        <v>34</v>
      </c>
      <c r="AH9" s="6">
        <f>AH8+AE9</f>
        <v>1.608239841263947E-6</v>
      </c>
      <c r="AI9" s="6">
        <f t="shared" si="12"/>
        <v>1.608239841263947E-3</v>
      </c>
      <c r="AJ9" s="6">
        <f t="shared" si="13"/>
        <v>6.5642442500569262E-2</v>
      </c>
      <c r="AK9" s="10">
        <v>1.8169999999999999</v>
      </c>
      <c r="AL9" s="6">
        <f t="shared" si="14"/>
        <v>74.16326530612244</v>
      </c>
      <c r="AM9" s="6">
        <f t="shared" si="15"/>
        <v>149.06816326530608</v>
      </c>
      <c r="AO9" s="5">
        <v>3</v>
      </c>
      <c r="AP9" s="10">
        <v>0.08</v>
      </c>
      <c r="AQ9" s="6">
        <f t="shared" si="16"/>
        <v>8.0000000000000002E-3</v>
      </c>
      <c r="AR9" s="6">
        <f t="shared" si="17"/>
        <v>8</v>
      </c>
      <c r="AS9" s="10">
        <v>21.468</v>
      </c>
      <c r="AT9" s="6">
        <f t="shared" si="18"/>
        <v>876.24489795918362</v>
      </c>
      <c r="AU9" s="8">
        <f t="shared" si="19"/>
        <v>0.73600177388130339</v>
      </c>
    </row>
    <row r="10" spans="2:47" x14ac:dyDescent="0.25">
      <c r="C10" s="5" t="s">
        <v>3</v>
      </c>
      <c r="D10" s="4">
        <v>6.33</v>
      </c>
      <c r="E10" s="6">
        <f t="shared" si="0"/>
        <v>843.93059209860007</v>
      </c>
      <c r="F10" s="6">
        <f t="shared" si="1"/>
        <v>7.1531896687848416E-7</v>
      </c>
      <c r="H10" s="5" t="s">
        <v>35</v>
      </c>
      <c r="I10" s="6">
        <f>I9+F10</f>
        <v>2.9064776979643935E-6</v>
      </c>
      <c r="J10" s="6">
        <f t="shared" si="2"/>
        <v>2.9064776979643935E-3</v>
      </c>
      <c r="K10" s="6">
        <f t="shared" si="3"/>
        <v>0.16402244345171521</v>
      </c>
      <c r="L10" s="10">
        <v>3.9390000000000001</v>
      </c>
      <c r="M10" s="6">
        <f t="shared" si="4"/>
        <v>222.29119638826185</v>
      </c>
      <c r="N10" s="6">
        <f t="shared" si="5"/>
        <v>446.80530474040626</v>
      </c>
      <c r="P10" s="5">
        <v>4</v>
      </c>
      <c r="Q10" s="10">
        <v>0.16500000000000001</v>
      </c>
      <c r="R10" s="6">
        <f t="shared" si="6"/>
        <v>2.1998190786000002E-2</v>
      </c>
      <c r="S10" s="6">
        <f t="shared" si="7"/>
        <v>21.998190786000002</v>
      </c>
      <c r="T10" s="10">
        <v>57.22</v>
      </c>
      <c r="U10" s="6">
        <f t="shared" si="8"/>
        <v>3229.1196388261851</v>
      </c>
      <c r="V10" s="8">
        <f t="shared" si="9"/>
        <v>2.3542003895686006</v>
      </c>
      <c r="AB10" s="5" t="s">
        <v>3</v>
      </c>
      <c r="AC10" s="4">
        <v>7.3</v>
      </c>
      <c r="AD10" s="6">
        <f t="shared" si="10"/>
        <v>730</v>
      </c>
      <c r="AE10" s="6">
        <f t="shared" si="11"/>
        <v>5.244650811358863E-7</v>
      </c>
      <c r="AG10" s="5" t="s">
        <v>35</v>
      </c>
      <c r="AH10" s="6">
        <f>AH9+AE10</f>
        <v>2.1327049223998332E-6</v>
      </c>
      <c r="AI10" s="6">
        <f t="shared" si="12"/>
        <v>2.1327049223998332E-3</v>
      </c>
      <c r="AJ10" s="6">
        <f t="shared" si="13"/>
        <v>8.7049180506115639E-2</v>
      </c>
      <c r="AK10" s="10">
        <v>2.4350000000000001</v>
      </c>
      <c r="AL10" s="6">
        <f t="shared" si="14"/>
        <v>99.387755102040813</v>
      </c>
      <c r="AM10" s="6">
        <f t="shared" si="15"/>
        <v>199.769387755102</v>
      </c>
      <c r="AO10" s="5">
        <v>4</v>
      </c>
      <c r="AP10" s="10">
        <v>8.5999999999999993E-2</v>
      </c>
      <c r="AQ10" s="6">
        <f t="shared" si="16"/>
        <v>8.6E-3</v>
      </c>
      <c r="AR10" s="6">
        <f t="shared" si="17"/>
        <v>8.6</v>
      </c>
      <c r="AS10" s="10">
        <v>27.25</v>
      </c>
      <c r="AT10" s="6">
        <f t="shared" si="18"/>
        <v>1112.2448979591836</v>
      </c>
      <c r="AU10" s="8">
        <f t="shared" si="19"/>
        <v>0.93422993936396115</v>
      </c>
    </row>
    <row r="11" spans="2:47" x14ac:dyDescent="0.25">
      <c r="C11" s="5" t="s">
        <v>4</v>
      </c>
      <c r="D11" s="4">
        <v>6.27</v>
      </c>
      <c r="E11" s="6">
        <f t="shared" si="0"/>
        <v>835.9312499934</v>
      </c>
      <c r="F11" s="6">
        <f t="shared" si="1"/>
        <v>7.0853869231091555E-7</v>
      </c>
      <c r="H11" s="5" t="s">
        <v>36</v>
      </c>
      <c r="I11" s="6">
        <f>I10+F11</f>
        <v>3.6150163902753091E-6</v>
      </c>
      <c r="J11" s="6">
        <f t="shared" si="2"/>
        <v>3.615016390275309E-3</v>
      </c>
      <c r="K11" s="6">
        <f t="shared" si="3"/>
        <v>0.20400769696813256</v>
      </c>
      <c r="L11" s="10">
        <v>4.9219999999999997</v>
      </c>
      <c r="M11" s="6">
        <f t="shared" si="4"/>
        <v>277.76523702031602</v>
      </c>
      <c r="N11" s="6">
        <f t="shared" si="5"/>
        <v>558.30812641083514</v>
      </c>
      <c r="P11" s="5">
        <v>5</v>
      </c>
      <c r="Q11" s="10">
        <v>0.17699999999999999</v>
      </c>
      <c r="R11" s="6">
        <f t="shared" si="6"/>
        <v>2.3598059206799998E-2</v>
      </c>
      <c r="S11" s="6">
        <f t="shared" si="7"/>
        <v>23.598059206799999</v>
      </c>
      <c r="T11" s="10">
        <v>61.591000000000001</v>
      </c>
      <c r="U11" s="6">
        <f t="shared" si="8"/>
        <v>3475.7900677200905</v>
      </c>
      <c r="V11" s="8">
        <f t="shared" si="9"/>
        <v>2.5340362844096416</v>
      </c>
      <c r="AB11" s="5" t="s">
        <v>4</v>
      </c>
      <c r="AC11" s="4">
        <v>7.2279999999999998</v>
      </c>
      <c r="AD11" s="6">
        <f t="shared" si="10"/>
        <v>722.8</v>
      </c>
      <c r="AE11" s="6">
        <f t="shared" si="11"/>
        <v>5.1929227485618977E-7</v>
      </c>
      <c r="AG11" s="5" t="s">
        <v>36</v>
      </c>
      <c r="AH11" s="6">
        <f>AH10+AE11</f>
        <v>2.651997197256023E-6</v>
      </c>
      <c r="AI11" s="6">
        <f t="shared" si="12"/>
        <v>2.6519971972560228E-3</v>
      </c>
      <c r="AJ11" s="6">
        <f t="shared" si="13"/>
        <v>0.10824478356147031</v>
      </c>
      <c r="AK11" s="10">
        <v>3.05</v>
      </c>
      <c r="AL11" s="6">
        <f t="shared" si="14"/>
        <v>124.48979591836734</v>
      </c>
      <c r="AM11" s="6">
        <f t="shared" si="15"/>
        <v>250.22448979591832</v>
      </c>
      <c r="AO11" s="5">
        <v>5</v>
      </c>
      <c r="AP11" s="10">
        <v>0.109</v>
      </c>
      <c r="AQ11" s="6">
        <f t="shared" si="16"/>
        <v>1.09E-2</v>
      </c>
      <c r="AR11" s="6">
        <f t="shared" si="17"/>
        <v>10.9</v>
      </c>
      <c r="AS11" s="10">
        <v>30.741</v>
      </c>
      <c r="AT11" s="6">
        <f t="shared" si="18"/>
        <v>1254.7346938775509</v>
      </c>
      <c r="AU11" s="8">
        <f t="shared" si="19"/>
        <v>1.0539142226050469</v>
      </c>
    </row>
    <row r="12" spans="2:47" x14ac:dyDescent="0.25">
      <c r="C12" s="5" t="s">
        <v>5</v>
      </c>
      <c r="D12" s="4">
        <v>6.22</v>
      </c>
      <c r="E12" s="6">
        <f t="shared" si="0"/>
        <v>829.26513157240004</v>
      </c>
      <c r="F12" s="6">
        <f t="shared" si="1"/>
        <v>7.028884635046085E-7</v>
      </c>
      <c r="H12" s="5" t="s">
        <v>37</v>
      </c>
      <c r="I12" s="6">
        <f>I11+F12+F13</f>
        <v>5.0174031800007417E-6</v>
      </c>
      <c r="J12" s="6">
        <f t="shared" si="2"/>
        <v>5.0174031800007419E-3</v>
      </c>
      <c r="K12" s="6">
        <f t="shared" si="3"/>
        <v>0.28314916365692677</v>
      </c>
      <c r="L12" s="10">
        <v>6.84</v>
      </c>
      <c r="M12" s="6">
        <f t="shared" si="4"/>
        <v>386.00451467268624</v>
      </c>
      <c r="N12" s="6">
        <f t="shared" si="5"/>
        <v>775.86907449209923</v>
      </c>
      <c r="P12" s="5">
        <v>6</v>
      </c>
      <c r="Q12" s="10">
        <v>0.187</v>
      </c>
      <c r="R12" s="6">
        <f t="shared" si="6"/>
        <v>2.4931282890799999E-2</v>
      </c>
      <c r="S12" s="6">
        <f t="shared" si="7"/>
        <v>24.931282890799999</v>
      </c>
      <c r="T12" s="10">
        <v>67.635999999999996</v>
      </c>
      <c r="U12" s="6">
        <f t="shared" si="8"/>
        <v>3816.9300225733632</v>
      </c>
      <c r="V12" s="8">
        <f t="shared" si="9"/>
        <v>2.7827455006791655</v>
      </c>
      <c r="AB12" s="5" t="s">
        <v>5</v>
      </c>
      <c r="AC12" s="4">
        <v>7.165</v>
      </c>
      <c r="AD12" s="6">
        <f t="shared" si="10"/>
        <v>716.5</v>
      </c>
      <c r="AE12" s="6">
        <f t="shared" si="11"/>
        <v>5.1476606936145541E-7</v>
      </c>
      <c r="AG12" s="5" t="s">
        <v>37</v>
      </c>
      <c r="AH12" s="6">
        <f>AH11+AE12+AE13</f>
        <v>3.6708963452928913E-6</v>
      </c>
      <c r="AI12" s="6">
        <f t="shared" si="12"/>
        <v>3.6708963452928914E-3</v>
      </c>
      <c r="AJ12" s="6">
        <f t="shared" si="13"/>
        <v>0.14983250388950575</v>
      </c>
      <c r="AK12" s="10">
        <v>4.2779999999999996</v>
      </c>
      <c r="AL12" s="6">
        <f t="shared" si="14"/>
        <v>174.61224489795916</v>
      </c>
      <c r="AM12" s="6">
        <f t="shared" si="15"/>
        <v>350.97061224489789</v>
      </c>
      <c r="AO12" s="5">
        <v>6</v>
      </c>
      <c r="AP12" s="10">
        <v>0.114</v>
      </c>
      <c r="AQ12" s="6">
        <f t="shared" si="16"/>
        <v>1.14E-2</v>
      </c>
      <c r="AR12" s="6">
        <f t="shared" si="17"/>
        <v>11.4</v>
      </c>
      <c r="AS12" s="10">
        <v>32.72</v>
      </c>
      <c r="AT12" s="6">
        <f t="shared" si="18"/>
        <v>1335.5102040816325</v>
      </c>
      <c r="AU12" s="8">
        <f t="shared" si="19"/>
        <v>1.121761600586745</v>
      </c>
    </row>
    <row r="13" spans="2:47" x14ac:dyDescent="0.25">
      <c r="C13" s="5" t="s">
        <v>6</v>
      </c>
      <c r="D13" s="4">
        <v>6.19</v>
      </c>
      <c r="E13" s="6">
        <f t="shared" si="0"/>
        <v>825.26546051980006</v>
      </c>
      <c r="F13" s="6">
        <f t="shared" si="1"/>
        <v>6.9949832622082424E-7</v>
      </c>
      <c r="H13" s="5" t="s">
        <v>38</v>
      </c>
      <c r="I13" s="6">
        <f>I12+F14+F15</f>
        <v>6.3971890545009461E-6</v>
      </c>
      <c r="J13" s="6">
        <f t="shared" si="2"/>
        <v>6.3971890545009465E-3</v>
      </c>
      <c r="K13" s="6">
        <f t="shared" si="3"/>
        <v>0.36101518366258162</v>
      </c>
      <c r="L13" s="10">
        <v>8.7240000000000002</v>
      </c>
      <c r="M13" s="6">
        <f t="shared" si="4"/>
        <v>492.32505643340858</v>
      </c>
      <c r="N13" s="6">
        <f t="shared" si="5"/>
        <v>989.57336343115117</v>
      </c>
      <c r="P13" s="5">
        <v>7</v>
      </c>
      <c r="Q13" s="10">
        <v>0.23100000000000001</v>
      </c>
      <c r="R13" s="6">
        <f t="shared" si="6"/>
        <v>3.0797467100400003E-2</v>
      </c>
      <c r="S13" s="6">
        <f t="shared" si="7"/>
        <v>30.797467100400002</v>
      </c>
      <c r="T13" s="10">
        <v>71.152000000000001</v>
      </c>
      <c r="U13" s="6">
        <f t="shared" si="8"/>
        <v>4015.3498871331831</v>
      </c>
      <c r="V13" s="8">
        <f t="shared" si="9"/>
        <v>2.9274041614572712</v>
      </c>
      <c r="AB13" s="5" t="s">
        <v>6</v>
      </c>
      <c r="AC13" s="4">
        <v>7.0170000000000003</v>
      </c>
      <c r="AD13" s="6">
        <f t="shared" si="10"/>
        <v>701.7</v>
      </c>
      <c r="AE13" s="6">
        <f t="shared" si="11"/>
        <v>5.0413307867541285E-7</v>
      </c>
      <c r="AG13" s="5" t="s">
        <v>38</v>
      </c>
      <c r="AH13" s="6">
        <f>AH12+AE14+AE15</f>
        <v>4.6820362839102146E-6</v>
      </c>
      <c r="AI13" s="6">
        <f t="shared" si="12"/>
        <v>4.6820362839102144E-3</v>
      </c>
      <c r="AJ13" s="6">
        <f t="shared" si="13"/>
        <v>0.19110352179225365</v>
      </c>
      <c r="AK13" s="10">
        <v>5.4820000000000002</v>
      </c>
      <c r="AL13" s="6">
        <f t="shared" si="14"/>
        <v>223.75510204081633</v>
      </c>
      <c r="AM13" s="6">
        <f t="shared" si="15"/>
        <v>449.74775510204074</v>
      </c>
      <c r="AO13" s="5">
        <v>7</v>
      </c>
      <c r="AP13" s="10">
        <v>0.121</v>
      </c>
      <c r="AQ13" s="6">
        <f t="shared" si="16"/>
        <v>1.21E-2</v>
      </c>
      <c r="AR13" s="6">
        <f t="shared" si="17"/>
        <v>12.1</v>
      </c>
      <c r="AS13" s="10">
        <v>34.533999999999999</v>
      </c>
      <c r="AT13" s="6">
        <f t="shared" si="18"/>
        <v>1409.5510204081631</v>
      </c>
      <c r="AU13" s="8">
        <f t="shared" si="19"/>
        <v>1.1839521734310101</v>
      </c>
    </row>
    <row r="14" spans="2:47" x14ac:dyDescent="0.25">
      <c r="C14" s="5" t="s">
        <v>7</v>
      </c>
      <c r="D14" s="4">
        <v>6.13</v>
      </c>
      <c r="E14" s="6">
        <f t="shared" si="0"/>
        <v>817.26611841459999</v>
      </c>
      <c r="F14" s="6">
        <f t="shared" si="1"/>
        <v>6.9271805165325563E-7</v>
      </c>
      <c r="H14" s="5" t="s">
        <v>39</v>
      </c>
      <c r="I14" s="6">
        <f>I13+F16+F17+F18+F19</f>
        <v>9.0946082866319746E-6</v>
      </c>
      <c r="J14" s="6">
        <f t="shared" si="2"/>
        <v>9.0946082866319739E-3</v>
      </c>
      <c r="K14" s="6">
        <f t="shared" si="3"/>
        <v>0.51323974529525818</v>
      </c>
      <c r="L14" s="10">
        <v>12.425000000000001</v>
      </c>
      <c r="M14" s="6">
        <f t="shared" si="4"/>
        <v>701.18510158013544</v>
      </c>
      <c r="N14" s="6">
        <f t="shared" si="5"/>
        <v>1409.3820541760722</v>
      </c>
      <c r="P14" s="5">
        <v>8</v>
      </c>
      <c r="Q14" s="10">
        <v>0.28999999999999998</v>
      </c>
      <c r="R14" s="6">
        <f t="shared" si="6"/>
        <v>3.8663486835999995E-2</v>
      </c>
      <c r="S14" s="6">
        <f t="shared" si="7"/>
        <v>38.663486835999997</v>
      </c>
      <c r="T14" s="10">
        <v>73.325000000000003</v>
      </c>
      <c r="U14" s="6">
        <f t="shared" si="8"/>
        <v>4137.9796839729124</v>
      </c>
      <c r="V14" s="8">
        <f t="shared" si="9"/>
        <v>3.0168078218300884</v>
      </c>
      <c r="AB14" s="5" t="s">
        <v>7</v>
      </c>
      <c r="AC14" s="4">
        <v>7.0640000000000001</v>
      </c>
      <c r="AD14" s="6">
        <f t="shared" si="10"/>
        <v>706.4</v>
      </c>
      <c r="AE14" s="6">
        <f t="shared" si="11"/>
        <v>5.0750977166354802E-7</v>
      </c>
      <c r="AG14" s="5" t="s">
        <v>39</v>
      </c>
      <c r="AH14" s="6">
        <f>AH13+AE16+AE17+AE18+AE19</f>
        <v>6.6605628413624297E-6</v>
      </c>
      <c r="AI14" s="6">
        <f t="shared" si="12"/>
        <v>6.6605628413624295E-3</v>
      </c>
      <c r="AJ14" s="6">
        <f t="shared" si="13"/>
        <v>0.27185970781071139</v>
      </c>
      <c r="AK14" s="10">
        <v>7.85</v>
      </c>
      <c r="AL14" s="6">
        <f t="shared" si="14"/>
        <v>320.40816326530609</v>
      </c>
      <c r="AM14" s="6">
        <f t="shared" si="15"/>
        <v>644.02040816326519</v>
      </c>
      <c r="AO14" s="5">
        <v>8</v>
      </c>
      <c r="AP14" s="10">
        <v>0.127</v>
      </c>
      <c r="AQ14" s="6">
        <f t="shared" si="16"/>
        <v>1.2700000000000001E-2</v>
      </c>
      <c r="AR14" s="6">
        <f t="shared" si="17"/>
        <v>12.700000000000001</v>
      </c>
      <c r="AS14" s="10">
        <v>40.512</v>
      </c>
      <c r="AT14" s="6">
        <f t="shared" si="18"/>
        <v>1653.5510204081631</v>
      </c>
      <c r="AU14" s="8">
        <f t="shared" si="19"/>
        <v>1.3888999377435887</v>
      </c>
    </row>
    <row r="15" spans="2:47" x14ac:dyDescent="0.25">
      <c r="C15" s="5" t="s">
        <v>8</v>
      </c>
      <c r="D15" s="4">
        <v>6.08</v>
      </c>
      <c r="E15" s="6">
        <f t="shared" si="0"/>
        <v>810.59999999360002</v>
      </c>
      <c r="F15" s="6">
        <f t="shared" si="1"/>
        <v>6.8706782284694847E-7</v>
      </c>
      <c r="H15" s="5" t="s">
        <v>40</v>
      </c>
      <c r="I15" s="6">
        <f>I14+F20+F21+F22+F23</f>
        <v>1.1725354818848579E-5</v>
      </c>
      <c r="J15" s="6">
        <f t="shared" si="2"/>
        <v>1.1725354818848578E-2</v>
      </c>
      <c r="K15" s="6">
        <f t="shared" si="3"/>
        <v>0.66170173921267372</v>
      </c>
      <c r="L15" s="10">
        <v>15.994</v>
      </c>
      <c r="M15" s="6">
        <f t="shared" si="4"/>
        <v>902.59593679458237</v>
      </c>
      <c r="N15" s="6">
        <f t="shared" si="5"/>
        <v>1814.2178329571104</v>
      </c>
      <c r="P15" s="5">
        <v>9</v>
      </c>
      <c r="Q15" s="10">
        <v>0.34699999999999998</v>
      </c>
      <c r="R15" s="6">
        <f t="shared" si="6"/>
        <v>4.6262861834799995E-2</v>
      </c>
      <c r="S15" s="6">
        <f t="shared" si="7"/>
        <v>46.262861834799992</v>
      </c>
      <c r="T15" s="10">
        <v>74.3</v>
      </c>
      <c r="U15" s="6">
        <f t="shared" si="8"/>
        <v>4193.0022573363431</v>
      </c>
      <c r="V15" s="8">
        <f t="shared" si="9"/>
        <v>3.0569222115509787</v>
      </c>
      <c r="AB15" s="5" t="s">
        <v>8</v>
      </c>
      <c r="AC15" s="4">
        <v>7.01</v>
      </c>
      <c r="AD15" s="6">
        <f t="shared" si="10"/>
        <v>701</v>
      </c>
      <c r="AE15" s="6">
        <f t="shared" si="11"/>
        <v>5.0363016695377571E-7</v>
      </c>
      <c r="AG15" s="5" t="s">
        <v>40</v>
      </c>
      <c r="AH15" s="6">
        <f>AH14+AE20+AE21+AE22+AE23</f>
        <v>8.585062311004482E-6</v>
      </c>
      <c r="AI15" s="6">
        <f t="shared" si="12"/>
        <v>8.5850623110044818E-3</v>
      </c>
      <c r="AJ15" s="6">
        <f t="shared" si="13"/>
        <v>0.3504107065716115</v>
      </c>
      <c r="AK15" s="10">
        <v>10.125</v>
      </c>
      <c r="AL15" s="6">
        <f t="shared" si="14"/>
        <v>413.26530612244898</v>
      </c>
      <c r="AM15" s="6">
        <f t="shared" si="15"/>
        <v>830.6632653061223</v>
      </c>
      <c r="AO15" s="5">
        <v>9</v>
      </c>
      <c r="AP15" s="10">
        <v>0.13300000000000001</v>
      </c>
      <c r="AQ15" s="6">
        <f t="shared" si="16"/>
        <v>1.3300000000000001E-2</v>
      </c>
      <c r="AR15" s="6">
        <f t="shared" si="17"/>
        <v>13.3</v>
      </c>
      <c r="AS15" s="10">
        <v>41.832000000000001</v>
      </c>
      <c r="AT15" s="6">
        <f t="shared" si="18"/>
        <v>1707.4285714285713</v>
      </c>
      <c r="AU15" s="8">
        <f t="shared" si="19"/>
        <v>1.434154378843054</v>
      </c>
    </row>
    <row r="16" spans="2:47" x14ac:dyDescent="0.25">
      <c r="C16" s="5" t="s">
        <v>9</v>
      </c>
      <c r="D16" s="4">
        <v>6.02</v>
      </c>
      <c r="E16" s="6">
        <f t="shared" si="0"/>
        <v>802.60065788839995</v>
      </c>
      <c r="F16" s="6">
        <f t="shared" si="1"/>
        <v>6.8028754827937985E-7</v>
      </c>
      <c r="H16" s="5" t="s">
        <v>41</v>
      </c>
      <c r="I16" s="6">
        <f>I15+F24+F25+F26+F27+F28+F29+F30+F31</f>
        <v>1.6768749051358333E-5</v>
      </c>
      <c r="J16" s="6">
        <f t="shared" si="2"/>
        <v>1.6768749051358334E-2</v>
      </c>
      <c r="K16" s="6">
        <f t="shared" si="3"/>
        <v>0.94631766655521077</v>
      </c>
      <c r="L16" s="10">
        <v>22.960999999999999</v>
      </c>
      <c r="M16" s="6">
        <f t="shared" si="4"/>
        <v>1295.767494356659</v>
      </c>
      <c r="N16" s="6">
        <f t="shared" si="5"/>
        <v>2604.4926636568844</v>
      </c>
      <c r="P16" s="5">
        <v>10</v>
      </c>
      <c r="Q16" s="10">
        <v>0.42899999999999999</v>
      </c>
      <c r="R16" s="6">
        <f t="shared" si="6"/>
        <v>5.7195296043599998E-2</v>
      </c>
      <c r="S16" s="6">
        <f t="shared" si="7"/>
        <v>57.195296043599996</v>
      </c>
      <c r="T16" s="10">
        <v>75.811999999999998</v>
      </c>
      <c r="U16" s="6">
        <f t="shared" si="8"/>
        <v>4278.3295711060946</v>
      </c>
      <c r="V16" s="8">
        <f t="shared" si="9"/>
        <v>3.1191303728412221</v>
      </c>
      <c r="AB16" s="5" t="s">
        <v>9</v>
      </c>
      <c r="AC16" s="4">
        <v>6.9530000000000003</v>
      </c>
      <c r="AD16" s="6">
        <f t="shared" si="10"/>
        <v>695.30000000000007</v>
      </c>
      <c r="AE16" s="6">
        <f t="shared" si="11"/>
        <v>4.9953502864901607E-7</v>
      </c>
      <c r="AG16" s="5" t="s">
        <v>41</v>
      </c>
      <c r="AH16" s="6">
        <f>AH15+AE24+AE25+AE26+AE27+AE28+AE29+AE30+AE31</f>
        <v>1.2283546956455754E-5</v>
      </c>
      <c r="AI16" s="6">
        <f t="shared" si="12"/>
        <v>1.2283546956455754E-2</v>
      </c>
      <c r="AJ16" s="6">
        <f t="shared" si="13"/>
        <v>0.50136926352880629</v>
      </c>
      <c r="AK16" s="10">
        <v>14.538</v>
      </c>
      <c r="AL16" s="6">
        <f t="shared" si="14"/>
        <v>593.38775510204084</v>
      </c>
      <c r="AM16" s="6">
        <f t="shared" si="15"/>
        <v>1192.7093877551019</v>
      </c>
      <c r="AO16" s="5">
        <v>10</v>
      </c>
      <c r="AP16" s="10">
        <v>0.13900000000000001</v>
      </c>
      <c r="AQ16" s="6">
        <f t="shared" si="16"/>
        <v>1.3900000000000003E-2</v>
      </c>
      <c r="AR16" s="6">
        <f t="shared" si="17"/>
        <v>13.900000000000002</v>
      </c>
      <c r="AS16" s="10">
        <v>45.162999999999997</v>
      </c>
      <c r="AT16" s="6">
        <f t="shared" si="18"/>
        <v>1843.3877551020405</v>
      </c>
      <c r="AU16" s="8">
        <f t="shared" si="19"/>
        <v>1.5483532752842044</v>
      </c>
    </row>
    <row r="17" spans="3:47" x14ac:dyDescent="0.25">
      <c r="C17" s="5" t="s">
        <v>10</v>
      </c>
      <c r="D17" s="4">
        <v>5.99</v>
      </c>
      <c r="E17" s="6">
        <f t="shared" si="0"/>
        <v>798.60098683580009</v>
      </c>
      <c r="F17" s="6">
        <f t="shared" si="1"/>
        <v>6.768974109955957E-7</v>
      </c>
      <c r="P17" s="5">
        <v>11</v>
      </c>
      <c r="Q17" s="10">
        <v>0.51500000000000001</v>
      </c>
      <c r="R17" s="6">
        <f t="shared" si="6"/>
        <v>6.8661019726E-2</v>
      </c>
      <c r="S17" s="6">
        <f t="shared" si="7"/>
        <v>68.661019726000006</v>
      </c>
      <c r="T17" s="10">
        <v>75.489000000000004</v>
      </c>
      <c r="U17" s="6">
        <f t="shared" si="8"/>
        <v>4260.1015801354406</v>
      </c>
      <c r="V17" s="8">
        <f t="shared" si="9"/>
        <v>3.1058411955285585</v>
      </c>
      <c r="AB17" s="5" t="s">
        <v>10</v>
      </c>
      <c r="AC17" s="4">
        <v>6.9080000000000004</v>
      </c>
      <c r="AD17" s="6">
        <f t="shared" si="10"/>
        <v>690.80000000000007</v>
      </c>
      <c r="AE17" s="6">
        <f t="shared" si="11"/>
        <v>4.9630202472420581E-7</v>
      </c>
      <c r="AO17" s="5">
        <v>11</v>
      </c>
      <c r="AP17" s="10">
        <v>0.15</v>
      </c>
      <c r="AQ17" s="6">
        <f t="shared" si="16"/>
        <v>1.4999999999999999E-2</v>
      </c>
      <c r="AR17" s="6">
        <f t="shared" si="17"/>
        <v>15</v>
      </c>
      <c r="AS17" s="10">
        <v>55.582999999999998</v>
      </c>
      <c r="AT17" s="6">
        <f t="shared" si="18"/>
        <v>2268.6938775510203</v>
      </c>
      <c r="AU17" s="8">
        <f t="shared" si="19"/>
        <v>1.9055890906299833</v>
      </c>
    </row>
    <row r="18" spans="3:47" x14ac:dyDescent="0.25">
      <c r="C18" s="5" t="s">
        <v>11</v>
      </c>
      <c r="D18" s="4">
        <v>5.95</v>
      </c>
      <c r="E18" s="6">
        <f t="shared" si="0"/>
        <v>793.268092099</v>
      </c>
      <c r="F18" s="6">
        <f t="shared" si="1"/>
        <v>6.7237722795054989E-7</v>
      </c>
      <c r="P18" s="5">
        <v>12</v>
      </c>
      <c r="Q18" s="10">
        <v>0.72699999999999998</v>
      </c>
      <c r="R18" s="6">
        <f t="shared" si="6"/>
        <v>9.6925361826800005E-2</v>
      </c>
      <c r="S18" s="6">
        <f t="shared" si="7"/>
        <v>96.9253618268</v>
      </c>
      <c r="T18" s="10">
        <v>76.572000000000003</v>
      </c>
      <c r="U18" s="6">
        <f t="shared" si="8"/>
        <v>4321.2189616252826</v>
      </c>
      <c r="V18" s="8">
        <f t="shared" si="9"/>
        <v>3.1503990253416094</v>
      </c>
      <c r="AB18" s="5" t="s">
        <v>11</v>
      </c>
      <c r="AC18" s="4">
        <v>6.8609999999999998</v>
      </c>
      <c r="AD18" s="6">
        <f t="shared" si="10"/>
        <v>686.1</v>
      </c>
      <c r="AE18" s="6">
        <f t="shared" si="11"/>
        <v>4.9292533173607064E-7</v>
      </c>
      <c r="AO18" s="5">
        <v>12</v>
      </c>
      <c r="AP18" s="10">
        <v>0.193</v>
      </c>
      <c r="AQ18" s="6">
        <f t="shared" si="16"/>
        <v>1.9300000000000001E-2</v>
      </c>
      <c r="AR18" s="6">
        <f t="shared" si="17"/>
        <v>19.3</v>
      </c>
      <c r="AS18" s="10">
        <v>69.712000000000003</v>
      </c>
      <c r="AT18" s="6">
        <f t="shared" si="18"/>
        <v>2845.387755102041</v>
      </c>
      <c r="AU18" s="8">
        <f t="shared" si="19"/>
        <v>2.3899830287317601</v>
      </c>
    </row>
    <row r="19" spans="3:47" x14ac:dyDescent="0.25">
      <c r="C19" s="5" t="s">
        <v>12</v>
      </c>
      <c r="D19" s="4">
        <v>5.91</v>
      </c>
      <c r="E19" s="6">
        <f t="shared" si="0"/>
        <v>787.93519736220003</v>
      </c>
      <c r="F19" s="6">
        <f t="shared" si="1"/>
        <v>6.6785704490550418E-7</v>
      </c>
      <c r="AB19" s="5" t="s">
        <v>12</v>
      </c>
      <c r="AC19" s="4">
        <v>6.8170000000000002</v>
      </c>
      <c r="AD19" s="6">
        <f t="shared" si="10"/>
        <v>681.7</v>
      </c>
      <c r="AE19" s="6">
        <f t="shared" si="11"/>
        <v>4.8976417234292288E-7</v>
      </c>
      <c r="AO19" s="5">
        <v>13</v>
      </c>
      <c r="AP19" s="10">
        <v>0.42899999999999999</v>
      </c>
      <c r="AQ19" s="6">
        <f t="shared" si="16"/>
        <v>4.2900000000000001E-2</v>
      </c>
      <c r="AR19" s="6">
        <f t="shared" si="17"/>
        <v>42.9</v>
      </c>
      <c r="AS19" s="10">
        <v>81.185000000000002</v>
      </c>
      <c r="AT19" s="6">
        <f t="shared" si="18"/>
        <v>3313.6734693877552</v>
      </c>
      <c r="AU19" s="8">
        <f t="shared" si="19"/>
        <v>2.7833195459546123</v>
      </c>
    </row>
    <row r="20" spans="3:47" x14ac:dyDescent="0.25">
      <c r="C20" s="5" t="s">
        <v>13</v>
      </c>
      <c r="D20" s="4">
        <v>5.87</v>
      </c>
      <c r="E20" s="6">
        <f t="shared" si="0"/>
        <v>782.60230262540006</v>
      </c>
      <c r="F20" s="6">
        <f t="shared" si="1"/>
        <v>6.6333686186045848E-7</v>
      </c>
      <c r="AB20" s="5" t="s">
        <v>13</v>
      </c>
      <c r="AC20" s="4">
        <v>6.7629999999999999</v>
      </c>
      <c r="AD20" s="6">
        <f t="shared" si="10"/>
        <v>676.3</v>
      </c>
      <c r="AE20" s="6">
        <f t="shared" si="11"/>
        <v>4.8588456763315046E-7</v>
      </c>
      <c r="AO20" s="5">
        <v>14</v>
      </c>
      <c r="AP20" s="10">
        <v>1.123</v>
      </c>
      <c r="AQ20" s="6">
        <f t="shared" si="16"/>
        <v>0.11230000000000001</v>
      </c>
      <c r="AR20" s="6">
        <f t="shared" si="17"/>
        <v>112.30000000000001</v>
      </c>
      <c r="AS20" s="10">
        <v>89.341999999999999</v>
      </c>
      <c r="AT20" s="6">
        <f t="shared" si="18"/>
        <v>3646.612244897959</v>
      </c>
      <c r="AU20" s="8">
        <f t="shared" si="19"/>
        <v>3.062971421748808</v>
      </c>
    </row>
    <row r="21" spans="3:47" x14ac:dyDescent="0.25">
      <c r="C21" s="5" t="s">
        <v>14</v>
      </c>
      <c r="D21" s="4">
        <v>5.84</v>
      </c>
      <c r="E21" s="6">
        <f t="shared" si="0"/>
        <v>778.60263157279996</v>
      </c>
      <c r="F21" s="6">
        <f t="shared" si="1"/>
        <v>6.5994672457667412E-7</v>
      </c>
      <c r="AB21" s="5" t="s">
        <v>14</v>
      </c>
      <c r="AC21" s="4">
        <v>6.7190000000000003</v>
      </c>
      <c r="AD21" s="6">
        <f t="shared" si="10"/>
        <v>671.9</v>
      </c>
      <c r="AE21" s="6">
        <f t="shared" si="11"/>
        <v>4.8272340824000271E-7</v>
      </c>
      <c r="AO21" s="5">
        <v>15</v>
      </c>
      <c r="AP21" s="10">
        <v>2.0169999999999999</v>
      </c>
      <c r="AQ21" s="6">
        <f t="shared" si="16"/>
        <v>0.20169999999999999</v>
      </c>
      <c r="AR21" s="6">
        <f t="shared" si="17"/>
        <v>201.7</v>
      </c>
      <c r="AS21" s="10">
        <v>93.432000000000002</v>
      </c>
      <c r="AT21" s="6">
        <f t="shared" si="18"/>
        <v>3813.5510204081634</v>
      </c>
      <c r="AU21" s="8">
        <f t="shared" si="19"/>
        <v>3.203191621822151</v>
      </c>
    </row>
    <row r="22" spans="3:47" x14ac:dyDescent="0.25">
      <c r="C22" s="5" t="s">
        <v>15</v>
      </c>
      <c r="D22" s="4">
        <v>5.8</v>
      </c>
      <c r="E22" s="6">
        <f t="shared" si="0"/>
        <v>773.26973683599999</v>
      </c>
      <c r="F22" s="6">
        <f t="shared" si="1"/>
        <v>6.5542654153162852E-7</v>
      </c>
      <c r="AB22" s="5" t="s">
        <v>15</v>
      </c>
      <c r="AC22" s="4">
        <v>6.6740000000000004</v>
      </c>
      <c r="AD22" s="6">
        <f t="shared" si="10"/>
        <v>667.40000000000009</v>
      </c>
      <c r="AE22" s="6">
        <f t="shared" si="11"/>
        <v>4.7949040431519244E-7</v>
      </c>
      <c r="AO22" s="5">
        <v>16</v>
      </c>
      <c r="AP22" s="10">
        <v>3.165</v>
      </c>
      <c r="AQ22" s="6">
        <f t="shared" si="16"/>
        <v>0.3165</v>
      </c>
      <c r="AR22" s="6">
        <f t="shared" si="17"/>
        <v>316.5</v>
      </c>
      <c r="AS22" s="10">
        <v>95.8</v>
      </c>
      <c r="AT22" s="6">
        <f t="shared" si="18"/>
        <v>3910.204081632653</v>
      </c>
      <c r="AU22" s="8">
        <f t="shared" si="19"/>
        <v>3.2843753464611916</v>
      </c>
    </row>
    <row r="23" spans="3:47" x14ac:dyDescent="0.25">
      <c r="C23" s="5" t="s">
        <v>16</v>
      </c>
      <c r="D23" s="4">
        <v>5.77</v>
      </c>
      <c r="E23" s="6">
        <f t="shared" si="0"/>
        <v>769.27006578340001</v>
      </c>
      <c r="F23" s="6">
        <f t="shared" si="1"/>
        <v>6.5203640424784416E-7</v>
      </c>
      <c r="AB23" s="5" t="s">
        <v>16</v>
      </c>
      <c r="AC23" s="4">
        <v>6.6310000000000002</v>
      </c>
      <c r="AD23" s="6">
        <f t="shared" si="10"/>
        <v>663.1</v>
      </c>
      <c r="AE23" s="6">
        <f t="shared" si="11"/>
        <v>4.7640108945370709E-7</v>
      </c>
    </row>
    <row r="24" spans="3:47" x14ac:dyDescent="0.25">
      <c r="C24" s="5" t="s">
        <v>17</v>
      </c>
      <c r="D24" s="4">
        <v>5.7</v>
      </c>
      <c r="E24" s="6">
        <f t="shared" si="0"/>
        <v>759.93749999400006</v>
      </c>
      <c r="F24" s="6">
        <f t="shared" si="1"/>
        <v>6.4412608391901419E-7</v>
      </c>
      <c r="AB24" s="5" t="s">
        <v>17</v>
      </c>
      <c r="AC24" s="4">
        <v>6.5819999999999999</v>
      </c>
      <c r="AD24" s="6">
        <f t="shared" si="10"/>
        <v>658.19999999999993</v>
      </c>
      <c r="AE24" s="6">
        <f t="shared" si="11"/>
        <v>4.7288070740224695E-7</v>
      </c>
    </row>
    <row r="25" spans="3:47" x14ac:dyDescent="0.25">
      <c r="C25" s="5" t="s">
        <v>18</v>
      </c>
      <c r="D25" s="4">
        <v>5.66</v>
      </c>
      <c r="E25" s="6">
        <f t="shared" si="0"/>
        <v>754.60460525720009</v>
      </c>
      <c r="F25" s="6">
        <f t="shared" si="1"/>
        <v>6.3960590087396859E-7</v>
      </c>
      <c r="AB25" s="5" t="s">
        <v>18</v>
      </c>
      <c r="AC25" s="4">
        <v>6.5369999999999999</v>
      </c>
      <c r="AD25" s="6">
        <f t="shared" si="10"/>
        <v>653.70000000000005</v>
      </c>
      <c r="AE25" s="6">
        <f t="shared" si="11"/>
        <v>4.696477034774368E-7</v>
      </c>
    </row>
    <row r="26" spans="3:47" x14ac:dyDescent="0.25">
      <c r="C26" s="5" t="s">
        <v>19</v>
      </c>
      <c r="D26" s="4">
        <v>5.63</v>
      </c>
      <c r="E26" s="6">
        <f t="shared" si="0"/>
        <v>750.6049342046</v>
      </c>
      <c r="F26" s="6">
        <f t="shared" si="1"/>
        <v>6.3621576359018413E-7</v>
      </c>
      <c r="AB26" s="5" t="s">
        <v>19</v>
      </c>
      <c r="AC26" s="4">
        <v>6.4939999999999998</v>
      </c>
      <c r="AD26" s="6">
        <f t="shared" si="10"/>
        <v>649.4</v>
      </c>
      <c r="AE26" s="6">
        <f t="shared" si="11"/>
        <v>4.6655838861595139E-7</v>
      </c>
    </row>
    <row r="27" spans="3:47" x14ac:dyDescent="0.25">
      <c r="C27" s="5" t="s">
        <v>20</v>
      </c>
      <c r="D27" s="4">
        <v>5.6</v>
      </c>
      <c r="E27" s="6">
        <f t="shared" si="0"/>
        <v>746.60526315200002</v>
      </c>
      <c r="F27" s="6">
        <f t="shared" si="1"/>
        <v>6.3282562630639998E-7</v>
      </c>
      <c r="AB27" s="5" t="s">
        <v>20</v>
      </c>
      <c r="AC27" s="4">
        <v>6.4550000000000001</v>
      </c>
      <c r="AD27" s="6">
        <f t="shared" si="10"/>
        <v>645.5</v>
      </c>
      <c r="AE27" s="6">
        <f t="shared" si="11"/>
        <v>4.6375645188111581E-7</v>
      </c>
    </row>
    <row r="28" spans="3:47" x14ac:dyDescent="0.25">
      <c r="C28" s="5" t="s">
        <v>21</v>
      </c>
      <c r="D28" s="4">
        <v>5.56</v>
      </c>
      <c r="E28" s="6">
        <f t="shared" si="0"/>
        <v>741.27236841519994</v>
      </c>
      <c r="F28" s="6">
        <f t="shared" si="1"/>
        <v>6.2830544326135417E-7</v>
      </c>
      <c r="AB28" s="5" t="s">
        <v>21</v>
      </c>
      <c r="AC28" s="4">
        <v>6.4139999999999997</v>
      </c>
      <c r="AD28" s="6">
        <f t="shared" si="10"/>
        <v>641.4</v>
      </c>
      <c r="AE28" s="6">
        <f t="shared" si="11"/>
        <v>4.6081082608295538E-7</v>
      </c>
    </row>
    <row r="29" spans="3:47" x14ac:dyDescent="0.25">
      <c r="C29" s="5" t="s">
        <v>22</v>
      </c>
      <c r="D29" s="4">
        <v>5.53</v>
      </c>
      <c r="E29" s="6">
        <f t="shared" si="0"/>
        <v>737.27269736260007</v>
      </c>
      <c r="F29" s="6">
        <f t="shared" si="1"/>
        <v>6.2491530597757002E-7</v>
      </c>
      <c r="AB29" s="5" t="s">
        <v>22</v>
      </c>
      <c r="AC29" s="4">
        <v>6.3719999999999999</v>
      </c>
      <c r="AD29" s="6">
        <f t="shared" si="10"/>
        <v>637.20000000000005</v>
      </c>
      <c r="AE29" s="6">
        <f t="shared" si="11"/>
        <v>4.5779335575313248E-7</v>
      </c>
    </row>
    <row r="30" spans="3:47" x14ac:dyDescent="0.25">
      <c r="C30" s="5" t="s">
        <v>23</v>
      </c>
      <c r="D30" s="4">
        <v>5.49</v>
      </c>
      <c r="E30" s="6">
        <f t="shared" si="0"/>
        <v>731.9398026258001</v>
      </c>
      <c r="F30" s="6">
        <f t="shared" si="1"/>
        <v>6.203951229325242E-7</v>
      </c>
      <c r="AB30" s="5" t="s">
        <v>23</v>
      </c>
      <c r="AC30" s="4">
        <v>6.3330000000000002</v>
      </c>
      <c r="AD30" s="6">
        <f t="shared" si="10"/>
        <v>633.30000000000007</v>
      </c>
      <c r="AE30" s="6">
        <f t="shared" si="11"/>
        <v>4.5499141901829701E-7</v>
      </c>
    </row>
    <row r="31" spans="3:47" x14ac:dyDescent="0.25">
      <c r="C31" s="5" t="s">
        <v>24</v>
      </c>
      <c r="D31" s="4">
        <v>5.46</v>
      </c>
      <c r="E31" s="6">
        <f t="shared" si="0"/>
        <v>727.94013157320001</v>
      </c>
      <c r="F31" s="6">
        <f t="shared" si="1"/>
        <v>6.1700498564873995E-7</v>
      </c>
      <c r="AB31" s="5" t="s">
        <v>24</v>
      </c>
      <c r="AC31" s="4">
        <v>6.2919999999999998</v>
      </c>
      <c r="AD31" s="6">
        <f t="shared" si="10"/>
        <v>629.19999999999993</v>
      </c>
      <c r="AE31" s="6">
        <f t="shared" si="11"/>
        <v>4.5204579322013636E-7</v>
      </c>
    </row>
  </sheetData>
  <mergeCells count="2">
    <mergeCell ref="J2:U4"/>
    <mergeCell ref="AI2:AT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395A-BFE4-4383-B7C2-7B2853E69C34}">
  <dimension ref="B1:AU49"/>
  <sheetViews>
    <sheetView tabSelected="1" workbookViewId="0">
      <selection activeCell="G20" sqref="G20"/>
    </sheetView>
  </sheetViews>
  <sheetFormatPr defaultRowHeight="15" x14ac:dyDescent="0.25"/>
  <cols>
    <col min="4" max="4" width="12.140625" bestFit="1" customWidth="1"/>
    <col min="5" max="5" width="14.28515625" bestFit="1" customWidth="1"/>
    <col min="6" max="6" width="12.140625" bestFit="1" customWidth="1"/>
    <col min="7" max="7" width="18" bestFit="1" customWidth="1"/>
    <col min="8" max="8" width="10.140625" bestFit="1" customWidth="1"/>
    <col min="9" max="9" width="12" bestFit="1" customWidth="1"/>
    <col min="10" max="10" width="14" bestFit="1" customWidth="1"/>
    <col min="11" max="11" width="22.140625" bestFit="1" customWidth="1"/>
    <col min="13" max="13" width="10.5703125" bestFit="1" customWidth="1"/>
    <col min="14" max="14" width="10" bestFit="1" customWidth="1"/>
    <col min="21" max="21" width="10.5703125" bestFit="1" customWidth="1"/>
    <col min="22" max="22" width="22.140625" bestFit="1" customWidth="1"/>
    <col min="28" max="28" width="12.140625" bestFit="1" customWidth="1"/>
    <col min="29" max="30" width="14.28515625" bestFit="1" customWidth="1"/>
    <col min="31" max="31" width="12" bestFit="1" customWidth="1"/>
    <col min="32" max="32" width="18.7109375" bestFit="1" customWidth="1"/>
    <col min="33" max="33" width="12" bestFit="1" customWidth="1"/>
    <col min="34" max="34" width="12.28515625" bestFit="1" customWidth="1"/>
    <col min="35" max="36" width="22.5703125" bestFit="1" customWidth="1"/>
    <col min="37" max="39" width="12" bestFit="1" customWidth="1"/>
    <col min="41" max="41" width="6.140625" bestFit="1" customWidth="1"/>
    <col min="42" max="43" width="12" bestFit="1" customWidth="1"/>
    <col min="44" max="44" width="7.7109375" bestFit="1" customWidth="1"/>
    <col min="45" max="45" width="12" bestFit="1" customWidth="1"/>
    <col min="46" max="47" width="22.5703125" bestFit="1" customWidth="1"/>
  </cols>
  <sheetData>
    <row r="1" spans="2:47" x14ac:dyDescent="0.25">
      <c r="B1" s="14" t="s">
        <v>26</v>
      </c>
      <c r="C1" s="15">
        <v>2.1</v>
      </c>
      <c r="D1" s="2" t="s">
        <v>28</v>
      </c>
      <c r="E1">
        <f>C1*0.000001</f>
        <v>2.0999999999999998E-6</v>
      </c>
      <c r="G1" s="14" t="s">
        <v>50</v>
      </c>
      <c r="H1" s="15">
        <v>28.4</v>
      </c>
      <c r="AA1" s="14" t="s">
        <v>26</v>
      </c>
      <c r="AB1" s="15">
        <v>1.78</v>
      </c>
      <c r="AC1" s="2" t="s">
        <v>28</v>
      </c>
      <c r="AD1">
        <f>AB1*0.000001</f>
        <v>1.7799999999999999E-6</v>
      </c>
      <c r="AF1" s="14" t="s">
        <v>50</v>
      </c>
      <c r="AG1" s="15">
        <v>28.4</v>
      </c>
    </row>
    <row r="2" spans="2:47" ht="14.45" customHeight="1" x14ac:dyDescent="0.25">
      <c r="B2" s="14" t="s">
        <v>44</v>
      </c>
      <c r="C2" s="15">
        <v>17.72</v>
      </c>
      <c r="D2" s="2" t="s">
        <v>29</v>
      </c>
      <c r="E2">
        <f>25+273</f>
        <v>298</v>
      </c>
      <c r="G2" s="14" t="s">
        <v>51</v>
      </c>
      <c r="H2" s="15"/>
      <c r="J2" s="13" t="s">
        <v>58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AA2" s="14" t="s">
        <v>44</v>
      </c>
      <c r="AB2" s="15">
        <v>24.5</v>
      </c>
      <c r="AC2" s="2" t="s">
        <v>29</v>
      </c>
      <c r="AD2">
        <f>25+273</f>
        <v>298</v>
      </c>
      <c r="AF2" s="14" t="s">
        <v>51</v>
      </c>
      <c r="AG2" s="15"/>
      <c r="AI2" s="13" t="s">
        <v>59</v>
      </c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 spans="2:47" ht="14.45" customHeight="1" x14ac:dyDescent="0.25">
      <c r="B3" s="2" t="s">
        <v>46</v>
      </c>
      <c r="C3">
        <f>C2/1000</f>
        <v>1.772E-2</v>
      </c>
      <c r="D3" s="2" t="s">
        <v>31</v>
      </c>
      <c r="E3">
        <v>8.3140000000000001</v>
      </c>
      <c r="G3" s="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AA3" s="2" t="s">
        <v>46</v>
      </c>
      <c r="AB3">
        <f>AB2/1000</f>
        <v>2.4500000000000001E-2</v>
      </c>
      <c r="AC3" s="2" t="s">
        <v>31</v>
      </c>
      <c r="AD3">
        <v>8.3140000000000001</v>
      </c>
      <c r="AF3" s="2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 spans="2:47" ht="14.45" customHeight="1" x14ac:dyDescent="0.25">
      <c r="G4" s="11" t="s">
        <v>55</v>
      </c>
      <c r="H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AF4" s="11" t="s">
        <v>55</v>
      </c>
      <c r="AG4" s="12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5" spans="2:47" x14ac:dyDescent="0.25">
      <c r="P5" t="s">
        <v>57</v>
      </c>
      <c r="AO5" t="s">
        <v>57</v>
      </c>
    </row>
    <row r="6" spans="2:47" x14ac:dyDescent="0.25">
      <c r="C6" s="1"/>
      <c r="D6" s="3" t="s">
        <v>25</v>
      </c>
      <c r="E6" s="5" t="s">
        <v>27</v>
      </c>
      <c r="F6" s="5" t="s">
        <v>64</v>
      </c>
      <c r="H6" s="7" t="s">
        <v>56</v>
      </c>
      <c r="I6" s="5" t="s">
        <v>64</v>
      </c>
      <c r="J6" s="5" t="s">
        <v>62</v>
      </c>
      <c r="K6" s="5" t="s">
        <v>63</v>
      </c>
      <c r="L6" s="9" t="s">
        <v>43</v>
      </c>
      <c r="M6" s="5" t="s">
        <v>47</v>
      </c>
      <c r="N6" s="5" t="s">
        <v>48</v>
      </c>
      <c r="P6" s="5" t="s">
        <v>54</v>
      </c>
      <c r="Q6" s="9" t="s">
        <v>49</v>
      </c>
      <c r="R6" s="5" t="s">
        <v>52</v>
      </c>
      <c r="S6" s="5" t="s">
        <v>53</v>
      </c>
      <c r="T6" s="9" t="s">
        <v>43</v>
      </c>
      <c r="U6" s="5" t="s">
        <v>47</v>
      </c>
      <c r="V6" s="5" t="s">
        <v>63</v>
      </c>
      <c r="AB6" s="1"/>
      <c r="AC6" s="3" t="s">
        <v>25</v>
      </c>
      <c r="AD6" s="5" t="s">
        <v>27</v>
      </c>
      <c r="AE6" s="5" t="s">
        <v>64</v>
      </c>
      <c r="AG6" s="7" t="s">
        <v>56</v>
      </c>
      <c r="AH6" s="5" t="s">
        <v>64</v>
      </c>
      <c r="AI6" s="5" t="s">
        <v>62</v>
      </c>
      <c r="AJ6" s="5" t="s">
        <v>63</v>
      </c>
      <c r="AK6" s="9" t="s">
        <v>43</v>
      </c>
      <c r="AL6" s="5" t="s">
        <v>47</v>
      </c>
      <c r="AM6" s="5" t="s">
        <v>48</v>
      </c>
      <c r="AO6" s="5" t="s">
        <v>54</v>
      </c>
      <c r="AP6" s="9" t="s">
        <v>61</v>
      </c>
      <c r="AQ6" s="5" t="s">
        <v>52</v>
      </c>
      <c r="AR6" s="5" t="s">
        <v>53</v>
      </c>
      <c r="AS6" s="9" t="s">
        <v>43</v>
      </c>
      <c r="AT6" s="5" t="s">
        <v>47</v>
      </c>
      <c r="AU6" s="5" t="s">
        <v>63</v>
      </c>
    </row>
    <row r="7" spans="2:47" x14ac:dyDescent="0.25">
      <c r="C7" s="5" t="s">
        <v>0</v>
      </c>
      <c r="D7" s="4">
        <v>9.9499999999999993</v>
      </c>
      <c r="E7" s="6">
        <f>D7*133.32236842</f>
        <v>1326.557565779</v>
      </c>
      <c r="F7" s="6">
        <f>(E7*$E$1)/($E$3*$E$2)</f>
        <v>1.1243955324551213E-6</v>
      </c>
      <c r="G7">
        <f>J7*1000</f>
        <v>1.1243955324551214</v>
      </c>
      <c r="H7" s="5" t="s">
        <v>32</v>
      </c>
      <c r="I7" s="6">
        <f>F7</f>
        <v>1.1243955324551213E-6</v>
      </c>
      <c r="J7" s="6">
        <f>I7*1000</f>
        <v>1.1243955324551213E-3</v>
      </c>
      <c r="K7" s="6">
        <f>J7/$C$3</f>
        <v>6.3453472486180662E-2</v>
      </c>
      <c r="L7" s="10">
        <v>2.4329999999999998</v>
      </c>
      <c r="M7" s="6">
        <f>L7/$C$3</f>
        <v>137.30248306997743</v>
      </c>
      <c r="N7" s="6">
        <f>M7*2.01</f>
        <v>275.97799097065462</v>
      </c>
      <c r="P7" s="5">
        <v>1</v>
      </c>
      <c r="Q7" s="10"/>
      <c r="R7" s="6">
        <f>Q7*0.1333223684</f>
        <v>0</v>
      </c>
      <c r="S7" s="6">
        <f>R7*1000</f>
        <v>0</v>
      </c>
      <c r="T7" s="10"/>
      <c r="U7" s="6">
        <f>T7/$C$3</f>
        <v>0</v>
      </c>
      <c r="V7" s="8" t="e">
        <f>(U7*2.01)/$H$4</f>
        <v>#DIV/0!</v>
      </c>
      <c r="AB7" s="5" t="s">
        <v>0</v>
      </c>
      <c r="AC7" s="4"/>
      <c r="AD7" s="6">
        <f>AC7*100</f>
        <v>0</v>
      </c>
      <c r="AE7" s="6">
        <f>(AD7*$AD$1)/($E$3*$E$2)</f>
        <v>0</v>
      </c>
      <c r="AG7" s="5" t="s">
        <v>32</v>
      </c>
      <c r="AH7" s="6">
        <f>AE7</f>
        <v>0</v>
      </c>
      <c r="AI7" s="6">
        <f>AH7*1000</f>
        <v>0</v>
      </c>
      <c r="AJ7" s="6">
        <f>AI7/$AB$3</f>
        <v>0</v>
      </c>
      <c r="AK7" s="10"/>
      <c r="AL7" s="6">
        <f>AK7/$AB$3</f>
        <v>0</v>
      </c>
      <c r="AM7" s="6">
        <f>AL7*2.01</f>
        <v>0</v>
      </c>
      <c r="AO7" s="5">
        <v>1</v>
      </c>
      <c r="AP7" s="10"/>
      <c r="AQ7" s="6">
        <f>AP7*0.1</f>
        <v>0</v>
      </c>
      <c r="AR7" s="6">
        <f>AQ7*1000</f>
        <v>0</v>
      </c>
      <c r="AS7" s="10"/>
      <c r="AT7" s="6">
        <f>AS7/$AB$3</f>
        <v>0</v>
      </c>
      <c r="AU7" s="8" t="e">
        <f>(AT7*2.01)/$AG$4</f>
        <v>#DIV/0!</v>
      </c>
    </row>
    <row r="8" spans="2:47" x14ac:dyDescent="0.25">
      <c r="C8" s="5" t="s">
        <v>1</v>
      </c>
      <c r="D8" s="4">
        <v>9.86</v>
      </c>
      <c r="E8" s="6">
        <f t="shared" ref="E8:E31" si="0">D8*133.32236842</f>
        <v>1314.5585526211999</v>
      </c>
      <c r="F8" s="6">
        <f t="shared" ref="F8:F31" si="1">(E8*$E$1)/($E$3*$E$2)</f>
        <v>1.1142251206037682E-6</v>
      </c>
      <c r="G8">
        <f t="shared" ref="G8:G15" si="2">J8*1000</f>
        <v>2.2386206530588892</v>
      </c>
      <c r="H8" s="5" t="s">
        <v>33</v>
      </c>
      <c r="I8" s="6">
        <f>F7+F8</f>
        <v>2.2386206530588894E-6</v>
      </c>
      <c r="J8" s="6">
        <f t="shared" ref="J8:J16" si="3">I8*1000</f>
        <v>2.2386206530588893E-3</v>
      </c>
      <c r="K8" s="6">
        <f t="shared" ref="K8:K16" si="4">J8/$C$3</f>
        <v>0.1263329939649486</v>
      </c>
      <c r="L8" s="10">
        <v>4.5602999999999998</v>
      </c>
      <c r="M8" s="6">
        <f t="shared" ref="M8:M16" si="5">L8/$C$3</f>
        <v>257.3532731376975</v>
      </c>
      <c r="N8" s="6">
        <f t="shared" ref="N8:N16" si="6">M8*2.01</f>
        <v>517.28007900677187</v>
      </c>
      <c r="P8" s="5">
        <v>2</v>
      </c>
      <c r="Q8" s="10"/>
      <c r="R8" s="6">
        <f t="shared" ref="R8:R18" si="7">Q8*0.1333223684</f>
        <v>0</v>
      </c>
      <c r="S8" s="6">
        <f t="shared" ref="S8:S18" si="8">R8*1000</f>
        <v>0</v>
      </c>
      <c r="T8" s="10"/>
      <c r="U8" s="6">
        <f t="shared" ref="U8:U18" si="9">T8/$C$3</f>
        <v>0</v>
      </c>
      <c r="V8" s="8" t="e">
        <f t="shared" ref="V8:V18" si="10">(U8*2.01)/$H$4</f>
        <v>#DIV/0!</v>
      </c>
      <c r="AB8" s="5" t="s">
        <v>1</v>
      </c>
      <c r="AC8" s="4"/>
      <c r="AD8" s="6">
        <f t="shared" ref="AD8:AD31" si="11">AC8*100</f>
        <v>0</v>
      </c>
      <c r="AE8" s="6">
        <f t="shared" ref="AE8:AE31" si="12">(AD8*$AD$1)/($E$3*$E$2)</f>
        <v>0</v>
      </c>
      <c r="AG8" s="5" t="s">
        <v>33</v>
      </c>
      <c r="AH8" s="6">
        <f>AE7+AE8</f>
        <v>0</v>
      </c>
      <c r="AI8" s="6">
        <f t="shared" ref="AI8:AI16" si="13">AH8*1000</f>
        <v>0</v>
      </c>
      <c r="AJ8" s="6">
        <f t="shared" ref="AJ8:AJ16" si="14">AI8/$AB$3</f>
        <v>0</v>
      </c>
      <c r="AK8" s="10"/>
      <c r="AL8" s="6">
        <f t="shared" ref="AL8:AL16" si="15">AK8/$AB$3</f>
        <v>0</v>
      </c>
      <c r="AM8" s="6">
        <f t="shared" ref="AM8:AM16" si="16">AL8*2.01</f>
        <v>0</v>
      </c>
      <c r="AO8" s="5">
        <v>2</v>
      </c>
      <c r="AP8" s="10"/>
      <c r="AQ8" s="6">
        <f t="shared" ref="AQ8:AQ22" si="17">AP8*0.1</f>
        <v>0</v>
      </c>
      <c r="AR8" s="6">
        <f t="shared" ref="AR8:AR22" si="18">AQ8*1000</f>
        <v>0</v>
      </c>
      <c r="AS8" s="10"/>
      <c r="AT8" s="6">
        <f t="shared" ref="AT8:AT22" si="19">AS8/$AB$3</f>
        <v>0</v>
      </c>
      <c r="AU8" s="8" t="e">
        <f t="shared" ref="AU8:AU22" si="20">(AT8*2.01)/$AG$4</f>
        <v>#DIV/0!</v>
      </c>
    </row>
    <row r="9" spans="2:47" x14ac:dyDescent="0.25">
      <c r="C9" s="5" t="s">
        <v>2</v>
      </c>
      <c r="D9" s="4">
        <v>9.76</v>
      </c>
      <c r="E9" s="6">
        <f t="shared" si="0"/>
        <v>1301.2263157791999</v>
      </c>
      <c r="F9" s="6">
        <f t="shared" si="1"/>
        <v>1.1029246629911541E-6</v>
      </c>
      <c r="G9">
        <f t="shared" si="2"/>
        <v>3.3415453160500435</v>
      </c>
      <c r="H9" s="5" t="s">
        <v>34</v>
      </c>
      <c r="I9" s="6">
        <f>I8+F9</f>
        <v>3.3415453160500433E-6</v>
      </c>
      <c r="J9" s="6">
        <f t="shared" si="3"/>
        <v>3.3415453160500434E-3</v>
      </c>
      <c r="K9" s="6">
        <f t="shared" si="4"/>
        <v>0.18857479210214692</v>
      </c>
      <c r="L9" s="10">
        <v>6.649</v>
      </c>
      <c r="M9" s="6">
        <f t="shared" si="5"/>
        <v>375.2257336343115</v>
      </c>
      <c r="N9" s="6">
        <f t="shared" si="6"/>
        <v>754.20372460496606</v>
      </c>
      <c r="P9" s="5">
        <v>3</v>
      </c>
      <c r="Q9" s="10"/>
      <c r="R9" s="6">
        <f t="shared" si="7"/>
        <v>0</v>
      </c>
      <c r="S9" s="6">
        <f t="shared" si="8"/>
        <v>0</v>
      </c>
      <c r="T9" s="10"/>
      <c r="U9" s="6">
        <f t="shared" si="9"/>
        <v>0</v>
      </c>
      <c r="V9" s="8" t="e">
        <f t="shared" si="10"/>
        <v>#DIV/0!</v>
      </c>
      <c r="AB9" s="5" t="s">
        <v>2</v>
      </c>
      <c r="AC9" s="4"/>
      <c r="AD9" s="6">
        <f t="shared" si="11"/>
        <v>0</v>
      </c>
      <c r="AE9" s="6">
        <f t="shared" si="12"/>
        <v>0</v>
      </c>
      <c r="AG9" s="5" t="s">
        <v>34</v>
      </c>
      <c r="AH9" s="6">
        <f>AH8+AE9</f>
        <v>0</v>
      </c>
      <c r="AI9" s="6">
        <f t="shared" si="13"/>
        <v>0</v>
      </c>
      <c r="AJ9" s="6">
        <f t="shared" si="14"/>
        <v>0</v>
      </c>
      <c r="AK9" s="10"/>
      <c r="AL9" s="6">
        <f t="shared" si="15"/>
        <v>0</v>
      </c>
      <c r="AM9" s="6">
        <f t="shared" si="16"/>
        <v>0</v>
      </c>
      <c r="AO9" s="5">
        <v>3</v>
      </c>
      <c r="AP9" s="10"/>
      <c r="AQ9" s="6">
        <f t="shared" si="17"/>
        <v>0</v>
      </c>
      <c r="AR9" s="6">
        <f t="shared" si="18"/>
        <v>0</v>
      </c>
      <c r="AS9" s="10"/>
      <c r="AT9" s="6">
        <f t="shared" si="19"/>
        <v>0</v>
      </c>
      <c r="AU9" s="8" t="e">
        <f t="shared" si="20"/>
        <v>#DIV/0!</v>
      </c>
    </row>
    <row r="10" spans="2:47" x14ac:dyDescent="0.25">
      <c r="C10" s="5" t="s">
        <v>3</v>
      </c>
      <c r="D10" s="4">
        <v>9.69</v>
      </c>
      <c r="E10" s="6">
        <f t="shared" si="0"/>
        <v>1291.8937499898</v>
      </c>
      <c r="F10" s="6">
        <f t="shared" si="1"/>
        <v>1.0950143426623241E-6</v>
      </c>
      <c r="G10">
        <f t="shared" si="2"/>
        <v>4.4365596587123672</v>
      </c>
      <c r="H10" s="5" t="s">
        <v>35</v>
      </c>
      <c r="I10" s="6">
        <f>I9+F10</f>
        <v>4.4365596587123674E-6</v>
      </c>
      <c r="J10" s="6">
        <f t="shared" si="3"/>
        <v>4.4365596587123673E-3</v>
      </c>
      <c r="K10" s="6">
        <f t="shared" si="4"/>
        <v>0.25037018390024646</v>
      </c>
      <c r="L10" s="10">
        <v>8.6280000000000001</v>
      </c>
      <c r="M10" s="6">
        <f t="shared" si="5"/>
        <v>486.90744920993228</v>
      </c>
      <c r="N10" s="6">
        <f t="shared" si="6"/>
        <v>978.68397291196379</v>
      </c>
      <c r="P10" s="5">
        <v>4</v>
      </c>
      <c r="Q10" s="10"/>
      <c r="R10" s="6">
        <f t="shared" si="7"/>
        <v>0</v>
      </c>
      <c r="S10" s="6">
        <f t="shared" si="8"/>
        <v>0</v>
      </c>
      <c r="T10" s="10"/>
      <c r="U10" s="6">
        <f t="shared" si="9"/>
        <v>0</v>
      </c>
      <c r="V10" s="8" t="e">
        <f t="shared" si="10"/>
        <v>#DIV/0!</v>
      </c>
      <c r="AB10" s="5" t="s">
        <v>3</v>
      </c>
      <c r="AC10" s="4"/>
      <c r="AD10" s="6">
        <f t="shared" si="11"/>
        <v>0</v>
      </c>
      <c r="AE10" s="6">
        <f t="shared" si="12"/>
        <v>0</v>
      </c>
      <c r="AG10" s="5" t="s">
        <v>35</v>
      </c>
      <c r="AH10" s="6">
        <f>AH9+AE10</f>
        <v>0</v>
      </c>
      <c r="AI10" s="6">
        <f t="shared" si="13"/>
        <v>0</v>
      </c>
      <c r="AJ10" s="6">
        <f t="shared" si="14"/>
        <v>0</v>
      </c>
      <c r="AK10" s="10"/>
      <c r="AL10" s="6">
        <f t="shared" si="15"/>
        <v>0</v>
      </c>
      <c r="AM10" s="6">
        <f t="shared" si="16"/>
        <v>0</v>
      </c>
      <c r="AO10" s="5">
        <v>4</v>
      </c>
      <c r="AP10" s="10"/>
      <c r="AQ10" s="6">
        <f t="shared" si="17"/>
        <v>0</v>
      </c>
      <c r="AR10" s="6">
        <f t="shared" si="18"/>
        <v>0</v>
      </c>
      <c r="AS10" s="10"/>
      <c r="AT10" s="6">
        <f t="shared" si="19"/>
        <v>0</v>
      </c>
      <c r="AU10" s="8" t="e">
        <f t="shared" si="20"/>
        <v>#DIV/0!</v>
      </c>
    </row>
    <row r="11" spans="2:47" x14ac:dyDescent="0.25">
      <c r="C11" s="5" t="s">
        <v>4</v>
      </c>
      <c r="D11" s="4">
        <v>9.6199999999999992</v>
      </c>
      <c r="E11" s="6">
        <f t="shared" si="0"/>
        <v>1282.5611842004</v>
      </c>
      <c r="F11" s="6">
        <f t="shared" si="1"/>
        <v>1.0871040223334941E-6</v>
      </c>
      <c r="G11">
        <f t="shared" si="2"/>
        <v>5.5236636810458615</v>
      </c>
      <c r="H11" s="5" t="s">
        <v>36</v>
      </c>
      <c r="I11" s="6">
        <f>I10+F11</f>
        <v>5.5236636810458618E-6</v>
      </c>
      <c r="J11" s="6">
        <f t="shared" si="3"/>
        <v>5.5236636810458619E-3</v>
      </c>
      <c r="K11" s="6">
        <f t="shared" si="4"/>
        <v>0.31171916935924732</v>
      </c>
      <c r="L11" s="10">
        <v>10.675000000000001</v>
      </c>
      <c r="M11" s="6">
        <f t="shared" si="5"/>
        <v>602.42663656884883</v>
      </c>
      <c r="N11" s="6">
        <f t="shared" si="6"/>
        <v>1210.8775395033861</v>
      </c>
      <c r="P11" s="5">
        <v>5</v>
      </c>
      <c r="Q11" s="10"/>
      <c r="R11" s="6">
        <f t="shared" si="7"/>
        <v>0</v>
      </c>
      <c r="S11" s="6">
        <f t="shared" si="8"/>
        <v>0</v>
      </c>
      <c r="T11" s="10"/>
      <c r="U11" s="6">
        <f t="shared" si="9"/>
        <v>0</v>
      </c>
      <c r="V11" s="8" t="e">
        <f t="shared" si="10"/>
        <v>#DIV/0!</v>
      </c>
      <c r="AB11" s="5" t="s">
        <v>4</v>
      </c>
      <c r="AC11" s="4"/>
      <c r="AD11" s="6">
        <f t="shared" si="11"/>
        <v>0</v>
      </c>
      <c r="AE11" s="6">
        <f t="shared" si="12"/>
        <v>0</v>
      </c>
      <c r="AG11" s="5" t="s">
        <v>36</v>
      </c>
      <c r="AH11" s="6">
        <f>AH10+AE11</f>
        <v>0</v>
      </c>
      <c r="AI11" s="6">
        <f t="shared" si="13"/>
        <v>0</v>
      </c>
      <c r="AJ11" s="6">
        <f t="shared" si="14"/>
        <v>0</v>
      </c>
      <c r="AK11" s="10"/>
      <c r="AL11" s="6">
        <f t="shared" si="15"/>
        <v>0</v>
      </c>
      <c r="AM11" s="6">
        <f t="shared" si="16"/>
        <v>0</v>
      </c>
      <c r="AO11" s="5">
        <v>5</v>
      </c>
      <c r="AP11" s="10"/>
      <c r="AQ11" s="6">
        <f t="shared" si="17"/>
        <v>0</v>
      </c>
      <c r="AR11" s="6">
        <f t="shared" si="18"/>
        <v>0</v>
      </c>
      <c r="AS11" s="10"/>
      <c r="AT11" s="6">
        <f t="shared" si="19"/>
        <v>0</v>
      </c>
      <c r="AU11" s="8" t="e">
        <f t="shared" si="20"/>
        <v>#DIV/0!</v>
      </c>
    </row>
    <row r="12" spans="2:47" x14ac:dyDescent="0.25">
      <c r="C12" s="5" t="s">
        <v>5</v>
      </c>
      <c r="D12" s="4">
        <v>9.5399999999999991</v>
      </c>
      <c r="E12" s="6">
        <f t="shared" si="0"/>
        <v>1271.8953947267999</v>
      </c>
      <c r="F12" s="6">
        <f t="shared" si="1"/>
        <v>1.0780636562434025E-6</v>
      </c>
      <c r="G12">
        <f t="shared" si="2"/>
        <v>7.6718806732038365</v>
      </c>
      <c r="H12" s="5" t="s">
        <v>37</v>
      </c>
      <c r="I12" s="6">
        <f>I11+F12+F13</f>
        <v>7.6718806732038366E-6</v>
      </c>
      <c r="J12" s="6">
        <f t="shared" si="3"/>
        <v>7.6718806732038363E-3</v>
      </c>
      <c r="K12" s="6">
        <f t="shared" si="4"/>
        <v>0.4329503765916386</v>
      </c>
      <c r="L12" s="10">
        <v>14.601000000000001</v>
      </c>
      <c r="M12" s="6">
        <f t="shared" si="5"/>
        <v>823.98419864559821</v>
      </c>
      <c r="N12" s="6">
        <f t="shared" si="6"/>
        <v>1656.2082392776522</v>
      </c>
      <c r="P12" s="5">
        <v>6</v>
      </c>
      <c r="Q12" s="10"/>
      <c r="R12" s="6">
        <f t="shared" si="7"/>
        <v>0</v>
      </c>
      <c r="S12" s="6">
        <f t="shared" si="8"/>
        <v>0</v>
      </c>
      <c r="T12" s="10"/>
      <c r="U12" s="6">
        <f t="shared" si="9"/>
        <v>0</v>
      </c>
      <c r="V12" s="8" t="e">
        <f t="shared" si="10"/>
        <v>#DIV/0!</v>
      </c>
      <c r="AB12" s="5" t="s">
        <v>5</v>
      </c>
      <c r="AC12" s="4"/>
      <c r="AD12" s="6">
        <f t="shared" si="11"/>
        <v>0</v>
      </c>
      <c r="AE12" s="6">
        <f t="shared" si="12"/>
        <v>0</v>
      </c>
      <c r="AG12" s="5" t="s">
        <v>37</v>
      </c>
      <c r="AH12" s="6">
        <f>AH11+AE12+AE13</f>
        <v>0</v>
      </c>
      <c r="AI12" s="6">
        <f t="shared" si="13"/>
        <v>0</v>
      </c>
      <c r="AJ12" s="6">
        <f t="shared" si="14"/>
        <v>0</v>
      </c>
      <c r="AK12" s="10"/>
      <c r="AL12" s="6">
        <f t="shared" si="15"/>
        <v>0</v>
      </c>
      <c r="AM12" s="6">
        <f t="shared" si="16"/>
        <v>0</v>
      </c>
      <c r="AO12" s="5">
        <v>6</v>
      </c>
      <c r="AP12" s="10"/>
      <c r="AQ12" s="6">
        <f t="shared" si="17"/>
        <v>0</v>
      </c>
      <c r="AR12" s="6">
        <f t="shared" si="18"/>
        <v>0</v>
      </c>
      <c r="AS12" s="10"/>
      <c r="AT12" s="6">
        <f t="shared" si="19"/>
        <v>0</v>
      </c>
      <c r="AU12" s="8" t="e">
        <f t="shared" si="20"/>
        <v>#DIV/0!</v>
      </c>
    </row>
    <row r="13" spans="2:47" x14ac:dyDescent="0.25">
      <c r="C13" s="5" t="s">
        <v>6</v>
      </c>
      <c r="D13" s="4">
        <v>9.4700000000000006</v>
      </c>
      <c r="E13" s="6">
        <f t="shared" si="0"/>
        <v>1262.5628289374001</v>
      </c>
      <c r="F13" s="6">
        <f t="shared" si="1"/>
        <v>1.0701533359145728E-6</v>
      </c>
      <c r="G13">
        <f t="shared" si="2"/>
        <v>9.7918465213302763</v>
      </c>
      <c r="H13" s="5" t="s">
        <v>38</v>
      </c>
      <c r="I13" s="6">
        <f>I12+F14+F15</f>
        <v>9.7918465213302756E-6</v>
      </c>
      <c r="J13" s="6">
        <f t="shared" si="3"/>
        <v>9.7918465213302757E-3</v>
      </c>
      <c r="K13" s="6">
        <f t="shared" si="4"/>
        <v>0.55258727547010589</v>
      </c>
      <c r="L13" s="10">
        <v>18.489000000000001</v>
      </c>
      <c r="M13" s="6">
        <f t="shared" si="5"/>
        <v>1043.3972911963883</v>
      </c>
      <c r="N13" s="6">
        <f t="shared" si="6"/>
        <v>2097.2285553047404</v>
      </c>
      <c r="P13" s="5">
        <v>7</v>
      </c>
      <c r="Q13" s="10"/>
      <c r="R13" s="6">
        <f t="shared" si="7"/>
        <v>0</v>
      </c>
      <c r="S13" s="6">
        <f t="shared" si="8"/>
        <v>0</v>
      </c>
      <c r="T13" s="10"/>
      <c r="U13" s="6">
        <f t="shared" si="9"/>
        <v>0</v>
      </c>
      <c r="V13" s="8" t="e">
        <f t="shared" si="10"/>
        <v>#DIV/0!</v>
      </c>
      <c r="AB13" s="5" t="s">
        <v>6</v>
      </c>
      <c r="AC13" s="4"/>
      <c r="AD13" s="6">
        <f t="shared" si="11"/>
        <v>0</v>
      </c>
      <c r="AE13" s="6">
        <f t="shared" si="12"/>
        <v>0</v>
      </c>
      <c r="AG13" s="5" t="s">
        <v>38</v>
      </c>
      <c r="AH13" s="6">
        <f>AH12+AE14+AE15</f>
        <v>0</v>
      </c>
      <c r="AI13" s="6">
        <f t="shared" si="13"/>
        <v>0</v>
      </c>
      <c r="AJ13" s="6">
        <f t="shared" si="14"/>
        <v>0</v>
      </c>
      <c r="AK13" s="10"/>
      <c r="AL13" s="6">
        <f t="shared" si="15"/>
        <v>0</v>
      </c>
      <c r="AM13" s="6">
        <f t="shared" si="16"/>
        <v>0</v>
      </c>
      <c r="AO13" s="5">
        <v>7</v>
      </c>
      <c r="AP13" s="10"/>
      <c r="AQ13" s="6">
        <f t="shared" si="17"/>
        <v>0</v>
      </c>
      <c r="AR13" s="6">
        <f t="shared" si="18"/>
        <v>0</v>
      </c>
      <c r="AS13" s="10"/>
      <c r="AT13" s="6">
        <f t="shared" si="19"/>
        <v>0</v>
      </c>
      <c r="AU13" s="8" t="e">
        <f t="shared" si="20"/>
        <v>#DIV/0!</v>
      </c>
    </row>
    <row r="14" spans="2:47" x14ac:dyDescent="0.25">
      <c r="C14" s="5" t="s">
        <v>7</v>
      </c>
      <c r="D14" s="4">
        <v>9.41</v>
      </c>
      <c r="E14" s="6">
        <f t="shared" si="0"/>
        <v>1254.5634868321999</v>
      </c>
      <c r="F14" s="6">
        <f t="shared" si="1"/>
        <v>1.0633730613470041E-6</v>
      </c>
      <c r="G14">
        <f t="shared" si="2"/>
        <v>13.937984419398456</v>
      </c>
      <c r="H14" s="5" t="s">
        <v>39</v>
      </c>
      <c r="I14" s="6">
        <f>I13+F16+F17+F18+F19</f>
        <v>1.3937984419398456E-5</v>
      </c>
      <c r="J14" s="6">
        <f t="shared" si="3"/>
        <v>1.3937984419398456E-2</v>
      </c>
      <c r="K14" s="6">
        <f t="shared" si="4"/>
        <v>0.78656796949201224</v>
      </c>
      <c r="L14" s="10">
        <v>26.423999999999999</v>
      </c>
      <c r="M14" s="6">
        <f t="shared" si="5"/>
        <v>1491.1963882618511</v>
      </c>
      <c r="N14" s="6">
        <f t="shared" si="6"/>
        <v>2997.3047404063204</v>
      </c>
      <c r="P14" s="5">
        <v>8</v>
      </c>
      <c r="Q14" s="10"/>
      <c r="R14" s="6">
        <f t="shared" si="7"/>
        <v>0</v>
      </c>
      <c r="S14" s="6">
        <f t="shared" si="8"/>
        <v>0</v>
      </c>
      <c r="T14" s="10"/>
      <c r="U14" s="6">
        <f t="shared" si="9"/>
        <v>0</v>
      </c>
      <c r="V14" s="8" t="e">
        <f t="shared" si="10"/>
        <v>#DIV/0!</v>
      </c>
      <c r="AB14" s="5" t="s">
        <v>7</v>
      </c>
      <c r="AC14" s="4"/>
      <c r="AD14" s="6">
        <f t="shared" si="11"/>
        <v>0</v>
      </c>
      <c r="AE14" s="6">
        <f t="shared" si="12"/>
        <v>0</v>
      </c>
      <c r="AG14" s="5" t="s">
        <v>39</v>
      </c>
      <c r="AH14" s="6">
        <f>AH13+AE16+AE17+AE18+AE19</f>
        <v>0</v>
      </c>
      <c r="AI14" s="6">
        <f t="shared" si="13"/>
        <v>0</v>
      </c>
      <c r="AJ14" s="6">
        <f t="shared" si="14"/>
        <v>0</v>
      </c>
      <c r="AK14" s="10"/>
      <c r="AL14" s="6">
        <f t="shared" si="15"/>
        <v>0</v>
      </c>
      <c r="AM14" s="6">
        <f t="shared" si="16"/>
        <v>0</v>
      </c>
      <c r="AO14" s="5">
        <v>8</v>
      </c>
      <c r="AP14" s="10"/>
      <c r="AQ14" s="6">
        <f t="shared" si="17"/>
        <v>0</v>
      </c>
      <c r="AR14" s="6">
        <f t="shared" si="18"/>
        <v>0</v>
      </c>
      <c r="AS14" s="10"/>
      <c r="AT14" s="6">
        <f t="shared" si="19"/>
        <v>0</v>
      </c>
      <c r="AU14" s="8" t="e">
        <f t="shared" si="20"/>
        <v>#DIV/0!</v>
      </c>
    </row>
    <row r="15" spans="2:47" x14ac:dyDescent="0.25">
      <c r="C15" s="5" t="s">
        <v>8</v>
      </c>
      <c r="D15" s="4">
        <v>9.35</v>
      </c>
      <c r="E15" s="6">
        <f t="shared" si="0"/>
        <v>1246.564144727</v>
      </c>
      <c r="F15" s="6">
        <f t="shared" si="1"/>
        <v>1.0565927867794355E-6</v>
      </c>
      <c r="G15">
        <f t="shared" si="2"/>
        <v>17.969987695579235</v>
      </c>
      <c r="H15" s="5" t="s">
        <v>40</v>
      </c>
      <c r="I15" s="6">
        <f>I14+F20+F21+F22+F23</f>
        <v>1.7969987695579235E-5</v>
      </c>
      <c r="J15" s="6">
        <f t="shared" si="3"/>
        <v>1.7969987695579236E-2</v>
      </c>
      <c r="K15" s="6">
        <f t="shared" si="4"/>
        <v>1.0141076577640653</v>
      </c>
      <c r="L15" s="10">
        <v>31.611999999999998</v>
      </c>
      <c r="M15" s="6">
        <f t="shared" si="5"/>
        <v>1783.9729119638826</v>
      </c>
      <c r="N15" s="6">
        <f t="shared" si="6"/>
        <v>3585.7855530474035</v>
      </c>
      <c r="P15" s="5">
        <v>9</v>
      </c>
      <c r="Q15" s="10"/>
      <c r="R15" s="6">
        <f t="shared" si="7"/>
        <v>0</v>
      </c>
      <c r="S15" s="6">
        <f t="shared" si="8"/>
        <v>0</v>
      </c>
      <c r="T15" s="10"/>
      <c r="U15" s="6">
        <f t="shared" si="9"/>
        <v>0</v>
      </c>
      <c r="V15" s="8" t="e">
        <f t="shared" si="10"/>
        <v>#DIV/0!</v>
      </c>
      <c r="AB15" s="5" t="s">
        <v>8</v>
      </c>
      <c r="AC15" s="4"/>
      <c r="AD15" s="6">
        <f t="shared" si="11"/>
        <v>0</v>
      </c>
      <c r="AE15" s="6">
        <f t="shared" si="12"/>
        <v>0</v>
      </c>
      <c r="AG15" s="5" t="s">
        <v>40</v>
      </c>
      <c r="AH15" s="6">
        <f>AH14+AE20+AE21+AE22+AE23</f>
        <v>0</v>
      </c>
      <c r="AI15" s="6">
        <f t="shared" si="13"/>
        <v>0</v>
      </c>
      <c r="AJ15" s="6">
        <f t="shared" si="14"/>
        <v>0</v>
      </c>
      <c r="AK15" s="10"/>
      <c r="AL15" s="6">
        <f t="shared" si="15"/>
        <v>0</v>
      </c>
      <c r="AM15" s="6">
        <f t="shared" si="16"/>
        <v>0</v>
      </c>
      <c r="AO15" s="5">
        <v>9</v>
      </c>
      <c r="AP15" s="10"/>
      <c r="AQ15" s="6">
        <f t="shared" si="17"/>
        <v>0</v>
      </c>
      <c r="AR15" s="6">
        <f t="shared" si="18"/>
        <v>0</v>
      </c>
      <c r="AS15" s="10"/>
      <c r="AT15" s="6">
        <f t="shared" si="19"/>
        <v>0</v>
      </c>
      <c r="AU15" s="8" t="e">
        <f t="shared" si="20"/>
        <v>#DIV/0!</v>
      </c>
    </row>
    <row r="16" spans="2:47" x14ac:dyDescent="0.25">
      <c r="C16" s="5" t="s">
        <v>9</v>
      </c>
      <c r="D16" s="4">
        <v>9.27</v>
      </c>
      <c r="E16" s="6">
        <f t="shared" si="0"/>
        <v>1235.8983552534</v>
      </c>
      <c r="F16" s="6">
        <f t="shared" si="1"/>
        <v>1.0475524206893441E-6</v>
      </c>
      <c r="H16" s="16" t="s">
        <v>41</v>
      </c>
      <c r="I16" s="17">
        <f>I15+F24+F25+F26+F27+F28+F29+F30+F31</f>
        <v>2.5705150931413711E-5</v>
      </c>
      <c r="J16" s="17">
        <f t="shared" si="3"/>
        <v>2.570515093141371E-2</v>
      </c>
      <c r="K16" s="17">
        <f t="shared" si="4"/>
        <v>1.4506292850684939</v>
      </c>
      <c r="L16" s="18">
        <v>35.347999999999999</v>
      </c>
      <c r="M16" s="17">
        <f t="shared" si="5"/>
        <v>1994.8081264108353</v>
      </c>
      <c r="N16" s="17">
        <f t="shared" si="6"/>
        <v>4009.5643340857782</v>
      </c>
      <c r="P16" s="5">
        <v>10</v>
      </c>
      <c r="Q16" s="10"/>
      <c r="R16" s="6">
        <f t="shared" si="7"/>
        <v>0</v>
      </c>
      <c r="S16" s="6">
        <f t="shared" si="8"/>
        <v>0</v>
      </c>
      <c r="T16" s="10"/>
      <c r="U16" s="6">
        <f t="shared" si="9"/>
        <v>0</v>
      </c>
      <c r="V16" s="8" t="e">
        <f t="shared" si="10"/>
        <v>#DIV/0!</v>
      </c>
      <c r="AB16" s="5" t="s">
        <v>9</v>
      </c>
      <c r="AC16" s="4"/>
      <c r="AD16" s="6">
        <f t="shared" si="11"/>
        <v>0</v>
      </c>
      <c r="AE16" s="6">
        <f t="shared" si="12"/>
        <v>0</v>
      </c>
      <c r="AG16" s="5" t="s">
        <v>41</v>
      </c>
      <c r="AH16" s="6">
        <f>AH15+AE24+AE25+AE26+AE27+AE28+AE29+AE30+AE31</f>
        <v>0</v>
      </c>
      <c r="AI16" s="6">
        <f t="shared" si="13"/>
        <v>0</v>
      </c>
      <c r="AJ16" s="6">
        <f t="shared" si="14"/>
        <v>0</v>
      </c>
      <c r="AK16" s="10"/>
      <c r="AL16" s="6">
        <f t="shared" si="15"/>
        <v>0</v>
      </c>
      <c r="AM16" s="6">
        <f t="shared" si="16"/>
        <v>0</v>
      </c>
      <c r="AO16" s="5">
        <v>10</v>
      </c>
      <c r="AP16" s="10"/>
      <c r="AQ16" s="6">
        <f t="shared" si="17"/>
        <v>0</v>
      </c>
      <c r="AR16" s="6">
        <f t="shared" si="18"/>
        <v>0</v>
      </c>
      <c r="AS16" s="10"/>
      <c r="AT16" s="6">
        <f t="shared" si="19"/>
        <v>0</v>
      </c>
      <c r="AU16" s="8" t="e">
        <f t="shared" si="20"/>
        <v>#DIV/0!</v>
      </c>
    </row>
    <row r="17" spans="3:47" x14ac:dyDescent="0.25">
      <c r="C17" s="5" t="s">
        <v>10</v>
      </c>
      <c r="D17" s="4">
        <v>9.1999999999999993</v>
      </c>
      <c r="E17" s="6">
        <f t="shared" si="0"/>
        <v>1226.5657894639999</v>
      </c>
      <c r="F17" s="6">
        <f t="shared" si="1"/>
        <v>1.039642100360514E-6</v>
      </c>
      <c r="P17" s="5">
        <v>11</v>
      </c>
      <c r="Q17" s="10"/>
      <c r="R17" s="6">
        <f t="shared" si="7"/>
        <v>0</v>
      </c>
      <c r="S17" s="6">
        <f t="shared" si="8"/>
        <v>0</v>
      </c>
      <c r="T17" s="10"/>
      <c r="U17" s="6">
        <f t="shared" si="9"/>
        <v>0</v>
      </c>
      <c r="V17" s="8" t="e">
        <f t="shared" si="10"/>
        <v>#DIV/0!</v>
      </c>
      <c r="AB17" s="5" t="s">
        <v>10</v>
      </c>
      <c r="AC17" s="4"/>
      <c r="AD17" s="6">
        <f t="shared" si="11"/>
        <v>0</v>
      </c>
      <c r="AE17" s="6">
        <f t="shared" si="12"/>
        <v>0</v>
      </c>
      <c r="AO17" s="5">
        <v>11</v>
      </c>
      <c r="AP17" s="10"/>
      <c r="AQ17" s="6">
        <f t="shared" si="17"/>
        <v>0</v>
      </c>
      <c r="AR17" s="6">
        <f t="shared" si="18"/>
        <v>0</v>
      </c>
      <c r="AS17" s="10"/>
      <c r="AT17" s="6">
        <f t="shared" si="19"/>
        <v>0</v>
      </c>
      <c r="AU17" s="8" t="e">
        <f t="shared" si="20"/>
        <v>#DIV/0!</v>
      </c>
    </row>
    <row r="18" spans="3:47" x14ac:dyDescent="0.25">
      <c r="C18" s="5" t="s">
        <v>11</v>
      </c>
      <c r="D18" s="4">
        <v>9.14</v>
      </c>
      <c r="E18" s="6">
        <f t="shared" si="0"/>
        <v>1218.5664473588001</v>
      </c>
      <c r="F18" s="6">
        <f t="shared" si="1"/>
        <v>1.0328618257929457E-6</v>
      </c>
      <c r="P18" s="5">
        <v>12</v>
      </c>
      <c r="Q18" s="10"/>
      <c r="R18" s="6">
        <f t="shared" si="7"/>
        <v>0</v>
      </c>
      <c r="S18" s="6">
        <f t="shared" si="8"/>
        <v>0</v>
      </c>
      <c r="T18" s="10"/>
      <c r="U18" s="6">
        <f t="shared" si="9"/>
        <v>0</v>
      </c>
      <c r="V18" s="8" t="e">
        <f t="shared" si="10"/>
        <v>#DIV/0!</v>
      </c>
      <c r="AB18" s="5" t="s">
        <v>11</v>
      </c>
      <c r="AC18" s="4"/>
      <c r="AD18" s="6">
        <f t="shared" si="11"/>
        <v>0</v>
      </c>
      <c r="AE18" s="6">
        <f t="shared" si="12"/>
        <v>0</v>
      </c>
      <c r="AO18" s="5">
        <v>12</v>
      </c>
      <c r="AP18" s="10"/>
      <c r="AQ18" s="6">
        <f t="shared" si="17"/>
        <v>0</v>
      </c>
      <c r="AR18" s="6">
        <f t="shared" si="18"/>
        <v>0</v>
      </c>
      <c r="AS18" s="10"/>
      <c r="AT18" s="6">
        <f t="shared" si="19"/>
        <v>0</v>
      </c>
      <c r="AU18" s="8" t="e">
        <f t="shared" si="20"/>
        <v>#DIV/0!</v>
      </c>
    </row>
    <row r="19" spans="3:47" x14ac:dyDescent="0.25">
      <c r="C19" s="5" t="s">
        <v>12</v>
      </c>
      <c r="D19" s="4">
        <v>9.08</v>
      </c>
      <c r="E19" s="6">
        <f t="shared" si="0"/>
        <v>1210.5671052535999</v>
      </c>
      <c r="F19" s="6">
        <f t="shared" si="1"/>
        <v>1.0260815512253769E-6</v>
      </c>
      <c r="AB19" s="5" t="s">
        <v>12</v>
      </c>
      <c r="AC19" s="4"/>
      <c r="AD19" s="6">
        <f t="shared" si="11"/>
        <v>0</v>
      </c>
      <c r="AE19" s="6">
        <f t="shared" si="12"/>
        <v>0</v>
      </c>
      <c r="AO19" s="5">
        <v>13</v>
      </c>
      <c r="AP19" s="10"/>
      <c r="AQ19" s="6">
        <f t="shared" si="17"/>
        <v>0</v>
      </c>
      <c r="AR19" s="6">
        <f t="shared" si="18"/>
        <v>0</v>
      </c>
      <c r="AS19" s="10"/>
      <c r="AT19" s="6">
        <f t="shared" si="19"/>
        <v>0</v>
      </c>
      <c r="AU19" s="8" t="e">
        <f t="shared" si="20"/>
        <v>#DIV/0!</v>
      </c>
    </row>
    <row r="20" spans="3:47" x14ac:dyDescent="0.25">
      <c r="C20" s="5" t="s">
        <v>13</v>
      </c>
      <c r="D20" s="4">
        <v>9.02</v>
      </c>
      <c r="E20" s="6">
        <f t="shared" si="0"/>
        <v>1202.5677631484</v>
      </c>
      <c r="F20" s="6">
        <f t="shared" si="1"/>
        <v>1.0193012766578084E-6</v>
      </c>
      <c r="AB20" s="5" t="s">
        <v>13</v>
      </c>
      <c r="AC20" s="4"/>
      <c r="AD20" s="6">
        <f t="shared" si="11"/>
        <v>0</v>
      </c>
      <c r="AE20" s="6">
        <f t="shared" si="12"/>
        <v>0</v>
      </c>
      <c r="AO20" s="5">
        <v>14</v>
      </c>
      <c r="AP20" s="10"/>
      <c r="AQ20" s="6">
        <f t="shared" si="17"/>
        <v>0</v>
      </c>
      <c r="AR20" s="6">
        <f t="shared" si="18"/>
        <v>0</v>
      </c>
      <c r="AS20" s="10"/>
      <c r="AT20" s="6">
        <f t="shared" si="19"/>
        <v>0</v>
      </c>
      <c r="AU20" s="8" t="e">
        <f t="shared" si="20"/>
        <v>#DIV/0!</v>
      </c>
    </row>
    <row r="21" spans="3:47" x14ac:dyDescent="0.25">
      <c r="C21" s="5" t="s">
        <v>14</v>
      </c>
      <c r="D21" s="4">
        <v>8.9499999999999993</v>
      </c>
      <c r="E21" s="6">
        <f t="shared" si="0"/>
        <v>1193.235197359</v>
      </c>
      <c r="F21" s="6">
        <f t="shared" si="1"/>
        <v>1.0113909563289785E-6</v>
      </c>
      <c r="AB21" s="5" t="s">
        <v>14</v>
      </c>
      <c r="AC21" s="4"/>
      <c r="AD21" s="6">
        <f t="shared" si="11"/>
        <v>0</v>
      </c>
      <c r="AE21" s="6">
        <f t="shared" si="12"/>
        <v>0</v>
      </c>
      <c r="AO21" s="5">
        <v>15</v>
      </c>
      <c r="AP21" s="10"/>
      <c r="AQ21" s="6">
        <f t="shared" si="17"/>
        <v>0</v>
      </c>
      <c r="AR21" s="6">
        <f t="shared" si="18"/>
        <v>0</v>
      </c>
      <c r="AS21" s="10"/>
      <c r="AT21" s="6">
        <f t="shared" si="19"/>
        <v>0</v>
      </c>
      <c r="AU21" s="8" t="e">
        <f t="shared" si="20"/>
        <v>#DIV/0!</v>
      </c>
    </row>
    <row r="22" spans="3:47" x14ac:dyDescent="0.25">
      <c r="C22" s="5" t="s">
        <v>15</v>
      </c>
      <c r="D22" s="4">
        <v>8.89</v>
      </c>
      <c r="E22" s="6">
        <f t="shared" si="0"/>
        <v>1185.2358552538001</v>
      </c>
      <c r="F22" s="6">
        <f t="shared" si="1"/>
        <v>1.0046106817614098E-6</v>
      </c>
      <c r="AB22" s="5" t="s">
        <v>15</v>
      </c>
      <c r="AC22" s="4"/>
      <c r="AD22" s="6">
        <f t="shared" si="11"/>
        <v>0</v>
      </c>
      <c r="AE22" s="6">
        <f t="shared" si="12"/>
        <v>0</v>
      </c>
      <c r="AO22" s="5">
        <v>16</v>
      </c>
      <c r="AP22" s="10"/>
      <c r="AQ22" s="6">
        <f t="shared" si="17"/>
        <v>0</v>
      </c>
      <c r="AR22" s="6">
        <f t="shared" si="18"/>
        <v>0</v>
      </c>
      <c r="AS22" s="10"/>
      <c r="AT22" s="6">
        <f t="shared" si="19"/>
        <v>0</v>
      </c>
      <c r="AU22" s="8" t="e">
        <f t="shared" si="20"/>
        <v>#DIV/0!</v>
      </c>
    </row>
    <row r="23" spans="3:47" x14ac:dyDescent="0.25">
      <c r="C23" s="5" t="s">
        <v>16</v>
      </c>
      <c r="D23" s="4">
        <v>8.82</v>
      </c>
      <c r="E23" s="6">
        <f t="shared" si="0"/>
        <v>1175.9032894644001</v>
      </c>
      <c r="F23" s="6">
        <f t="shared" si="1"/>
        <v>9.9670036143257979E-7</v>
      </c>
      <c r="AB23" s="5" t="s">
        <v>16</v>
      </c>
      <c r="AC23" s="4"/>
      <c r="AD23" s="6">
        <f t="shared" si="11"/>
        <v>0</v>
      </c>
      <c r="AE23" s="6">
        <f t="shared" si="12"/>
        <v>0</v>
      </c>
    </row>
    <row r="24" spans="3:47" x14ac:dyDescent="0.25">
      <c r="C24" s="5" t="s">
        <v>17</v>
      </c>
      <c r="D24" s="4">
        <v>8.75</v>
      </c>
      <c r="E24" s="6">
        <f t="shared" si="0"/>
        <v>1166.570723675</v>
      </c>
      <c r="F24" s="6">
        <f t="shared" si="1"/>
        <v>9.8879004110374962E-7</v>
      </c>
      <c r="AB24" s="5" t="s">
        <v>17</v>
      </c>
      <c r="AC24" s="4"/>
      <c r="AD24" s="6">
        <f t="shared" si="11"/>
        <v>0</v>
      </c>
      <c r="AE24" s="6">
        <f t="shared" si="12"/>
        <v>0</v>
      </c>
    </row>
    <row r="25" spans="3:47" x14ac:dyDescent="0.25">
      <c r="C25" s="5" t="s">
        <v>18</v>
      </c>
      <c r="D25" s="4">
        <v>8.69</v>
      </c>
      <c r="E25" s="6">
        <f t="shared" si="0"/>
        <v>1158.5713815698</v>
      </c>
      <c r="F25" s="6">
        <f t="shared" si="1"/>
        <v>9.8200976653618132E-7</v>
      </c>
      <c r="AB25" s="5" t="s">
        <v>18</v>
      </c>
      <c r="AC25" s="4"/>
      <c r="AD25" s="6">
        <f t="shared" si="11"/>
        <v>0</v>
      </c>
      <c r="AE25" s="6">
        <f t="shared" si="12"/>
        <v>0</v>
      </c>
    </row>
    <row r="26" spans="3:47" x14ac:dyDescent="0.25">
      <c r="C26" s="5" t="s">
        <v>19</v>
      </c>
      <c r="D26" s="4">
        <v>8.64</v>
      </c>
      <c r="E26" s="6">
        <f t="shared" si="0"/>
        <v>1151.9052631488</v>
      </c>
      <c r="F26" s="6">
        <f t="shared" si="1"/>
        <v>9.7635953772987427E-7</v>
      </c>
      <c r="AB26" s="5" t="s">
        <v>19</v>
      </c>
      <c r="AC26" s="4"/>
      <c r="AD26" s="6">
        <f t="shared" si="11"/>
        <v>0</v>
      </c>
      <c r="AE26" s="6">
        <f t="shared" si="12"/>
        <v>0</v>
      </c>
    </row>
    <row r="27" spans="3:47" x14ac:dyDescent="0.25">
      <c r="C27" s="5" t="s">
        <v>20</v>
      </c>
      <c r="D27" s="4">
        <v>8.59</v>
      </c>
      <c r="E27" s="6">
        <f t="shared" si="0"/>
        <v>1145.2391447278001</v>
      </c>
      <c r="F27" s="6">
        <f t="shared" si="1"/>
        <v>9.70709308923567E-7</v>
      </c>
      <c r="AB27" s="5" t="s">
        <v>20</v>
      </c>
      <c r="AC27" s="4"/>
      <c r="AD27" s="6">
        <f t="shared" si="11"/>
        <v>0</v>
      </c>
      <c r="AE27" s="6">
        <f t="shared" si="12"/>
        <v>0</v>
      </c>
    </row>
    <row r="28" spans="3:47" x14ac:dyDescent="0.25">
      <c r="C28" s="5" t="s">
        <v>21</v>
      </c>
      <c r="D28" s="4">
        <v>8.5299999999999994</v>
      </c>
      <c r="E28" s="6">
        <f t="shared" si="0"/>
        <v>1137.2398026225999</v>
      </c>
      <c r="F28" s="6">
        <f t="shared" si="1"/>
        <v>9.6392903435599828E-7</v>
      </c>
      <c r="AB28" s="5" t="s">
        <v>21</v>
      </c>
      <c r="AC28" s="4"/>
      <c r="AD28" s="6">
        <f t="shared" si="11"/>
        <v>0</v>
      </c>
      <c r="AE28" s="6">
        <f t="shared" si="12"/>
        <v>0</v>
      </c>
    </row>
    <row r="29" spans="3:47" x14ac:dyDescent="0.25">
      <c r="C29" s="5" t="s">
        <v>22</v>
      </c>
      <c r="D29" s="4">
        <v>8.4700000000000006</v>
      </c>
      <c r="E29" s="6">
        <f t="shared" si="0"/>
        <v>1129.2404605174002</v>
      </c>
      <c r="F29" s="6">
        <f t="shared" si="1"/>
        <v>9.5714875978842977E-7</v>
      </c>
      <c r="AB29" s="5" t="s">
        <v>22</v>
      </c>
      <c r="AC29" s="4"/>
      <c r="AD29" s="6">
        <f t="shared" si="11"/>
        <v>0</v>
      </c>
      <c r="AE29" s="6">
        <f t="shared" si="12"/>
        <v>0</v>
      </c>
    </row>
    <row r="30" spans="3:47" x14ac:dyDescent="0.25">
      <c r="C30" s="5" t="s">
        <v>23</v>
      </c>
      <c r="D30" s="4">
        <v>8.42</v>
      </c>
      <c r="E30" s="6">
        <f t="shared" si="0"/>
        <v>1122.5743420964</v>
      </c>
      <c r="F30" s="6">
        <f t="shared" si="1"/>
        <v>9.5149853098212261E-7</v>
      </c>
      <c r="AB30" s="5" t="s">
        <v>23</v>
      </c>
      <c r="AC30" s="4"/>
      <c r="AD30" s="6">
        <f t="shared" si="11"/>
        <v>0</v>
      </c>
      <c r="AE30" s="6">
        <f t="shared" si="12"/>
        <v>0</v>
      </c>
    </row>
    <row r="31" spans="3:47" x14ac:dyDescent="0.25">
      <c r="C31" s="5" t="s">
        <v>24</v>
      </c>
      <c r="D31" s="4">
        <v>8.36</v>
      </c>
      <c r="E31" s="6">
        <f t="shared" si="0"/>
        <v>1114.5749999912</v>
      </c>
      <c r="F31" s="6">
        <f t="shared" si="1"/>
        <v>9.4471825641455421E-7</v>
      </c>
      <c r="AB31" s="5" t="s">
        <v>24</v>
      </c>
      <c r="AC31" s="4"/>
      <c r="AD31" s="6">
        <f t="shared" si="11"/>
        <v>0</v>
      </c>
      <c r="AE31" s="6">
        <f t="shared" si="12"/>
        <v>0</v>
      </c>
    </row>
    <row r="39" spans="8:14" x14ac:dyDescent="0.25">
      <c r="H39" s="7" t="s">
        <v>56</v>
      </c>
      <c r="I39" s="5" t="s">
        <v>64</v>
      </c>
      <c r="J39" s="5" t="s">
        <v>62</v>
      </c>
      <c r="K39" s="5" t="s">
        <v>63</v>
      </c>
      <c r="L39" s="9" t="s">
        <v>43</v>
      </c>
      <c r="M39" s="5" t="s">
        <v>47</v>
      </c>
      <c r="N39" s="5" t="s">
        <v>48</v>
      </c>
    </row>
    <row r="40" spans="8:14" x14ac:dyDescent="0.25">
      <c r="H40" s="5" t="s">
        <v>32</v>
      </c>
      <c r="I40" s="6">
        <f>F7</f>
        <v>1.1243955324551213E-6</v>
      </c>
      <c r="J40" s="6">
        <f>I40*1000</f>
        <v>1.1243955324551213E-3</v>
      </c>
      <c r="K40" s="6">
        <f>J40/$C$3</f>
        <v>6.3453472486180662E-2</v>
      </c>
      <c r="L40" s="10">
        <v>0.188</v>
      </c>
      <c r="M40" s="6">
        <f>L40/$C$3</f>
        <v>10.609480812641083</v>
      </c>
      <c r="N40" s="6">
        <f>M40*2.01</f>
        <v>21.325056433408573</v>
      </c>
    </row>
    <row r="41" spans="8:14" x14ac:dyDescent="0.25">
      <c r="H41" s="5" t="s">
        <v>33</v>
      </c>
      <c r="I41" s="6">
        <f>I40+F8</f>
        <v>2.2386206530588894E-6</v>
      </c>
      <c r="J41" s="6">
        <f t="shared" ref="J41:J49" si="21">I41*1000</f>
        <v>2.2386206530588893E-3</v>
      </c>
      <c r="K41" s="6">
        <f t="shared" ref="K41:K49" si="22">J41/$C$3</f>
        <v>0.1263329939649486</v>
      </c>
      <c r="L41" s="10">
        <v>0.376</v>
      </c>
      <c r="M41" s="6">
        <f t="shared" ref="M41:M49" si="23">L41/$C$3</f>
        <v>21.218961625282166</v>
      </c>
      <c r="N41" s="6">
        <f t="shared" ref="N41:N49" si="24">M41*2.01</f>
        <v>42.650112866817146</v>
      </c>
    </row>
    <row r="42" spans="8:14" x14ac:dyDescent="0.25">
      <c r="H42" s="5" t="s">
        <v>34</v>
      </c>
      <c r="I42" s="6">
        <f>I41+F9</f>
        <v>3.3415453160500433E-6</v>
      </c>
      <c r="J42" s="6">
        <f t="shared" si="21"/>
        <v>3.3415453160500434E-3</v>
      </c>
      <c r="K42" s="6">
        <f t="shared" si="22"/>
        <v>0.18857479210214692</v>
      </c>
      <c r="L42" s="10">
        <v>0.55900000000000005</v>
      </c>
      <c r="M42" s="6">
        <f t="shared" si="23"/>
        <v>31.546275395033863</v>
      </c>
      <c r="N42" s="6">
        <f t="shared" si="24"/>
        <v>63.408013544018061</v>
      </c>
    </row>
    <row r="43" spans="8:14" x14ac:dyDescent="0.25">
      <c r="H43" s="5" t="s">
        <v>35</v>
      </c>
      <c r="I43" s="6">
        <f>I42+F10</f>
        <v>4.4365596587123674E-6</v>
      </c>
      <c r="J43" s="6">
        <f t="shared" si="21"/>
        <v>4.4365596587123673E-3</v>
      </c>
      <c r="K43" s="6">
        <f t="shared" si="22"/>
        <v>0.25037018390024646</v>
      </c>
      <c r="L43" s="10">
        <v>0.72899999999999998</v>
      </c>
      <c r="M43" s="6">
        <f t="shared" si="23"/>
        <v>41.139954853273139</v>
      </c>
      <c r="N43" s="6">
        <f t="shared" si="24"/>
        <v>82.691309255079005</v>
      </c>
    </row>
    <row r="44" spans="8:14" x14ac:dyDescent="0.25">
      <c r="H44" s="5" t="s">
        <v>36</v>
      </c>
      <c r="I44" s="6">
        <f>I43+F11</f>
        <v>5.5236636810458618E-6</v>
      </c>
      <c r="J44" s="6">
        <f t="shared" si="21"/>
        <v>5.5236636810458619E-3</v>
      </c>
      <c r="K44" s="6">
        <f t="shared" si="22"/>
        <v>0.31171916935924732</v>
      </c>
      <c r="L44" s="10">
        <v>0.90500000000000003</v>
      </c>
      <c r="M44" s="6">
        <f t="shared" si="23"/>
        <v>51.07223476297969</v>
      </c>
      <c r="N44" s="6">
        <f t="shared" si="24"/>
        <v>102.65519187358916</v>
      </c>
    </row>
    <row r="45" spans="8:14" x14ac:dyDescent="0.25">
      <c r="H45" s="5" t="s">
        <v>37</v>
      </c>
      <c r="I45" s="6">
        <f>I44+F12+F13</f>
        <v>7.6718806732038366E-6</v>
      </c>
      <c r="J45" s="6">
        <f t="shared" si="21"/>
        <v>7.6718806732038363E-3</v>
      </c>
      <c r="K45" s="6">
        <f t="shared" si="22"/>
        <v>0.4329503765916386</v>
      </c>
      <c r="L45" s="10">
        <v>1.2529999999999999</v>
      </c>
      <c r="M45" s="6">
        <f t="shared" si="23"/>
        <v>70.711060948081254</v>
      </c>
      <c r="N45" s="6">
        <f t="shared" si="24"/>
        <v>142.1292325056433</v>
      </c>
    </row>
    <row r="46" spans="8:14" x14ac:dyDescent="0.25">
      <c r="H46" s="5" t="s">
        <v>38</v>
      </c>
      <c r="I46" s="6">
        <f>I45+F14+F15</f>
        <v>9.7918465213302756E-6</v>
      </c>
      <c r="J46" s="6">
        <f t="shared" si="21"/>
        <v>9.7918465213302757E-3</v>
      </c>
      <c r="K46" s="6">
        <f t="shared" si="22"/>
        <v>0.55258727547010589</v>
      </c>
      <c r="L46" s="10">
        <v>1.58</v>
      </c>
      <c r="M46" s="6">
        <f t="shared" si="23"/>
        <v>89.164785553047409</v>
      </c>
      <c r="N46" s="6">
        <f t="shared" si="24"/>
        <v>179.22121896162528</v>
      </c>
    </row>
    <row r="47" spans="8:14" x14ac:dyDescent="0.25">
      <c r="H47" s="5" t="s">
        <v>39</v>
      </c>
      <c r="I47" s="6">
        <f>I46+F16+F17+F18+F19</f>
        <v>1.3937984419398456E-5</v>
      </c>
      <c r="J47" s="6">
        <f t="shared" si="21"/>
        <v>1.3937984419398456E-2</v>
      </c>
      <c r="K47" s="6">
        <f t="shared" si="22"/>
        <v>0.78656796949201224</v>
      </c>
      <c r="L47" s="10">
        <v>2.2389999999999999</v>
      </c>
      <c r="M47" s="6">
        <f t="shared" si="23"/>
        <v>126.35440180586907</v>
      </c>
      <c r="N47" s="6">
        <f t="shared" si="24"/>
        <v>253.97234762979681</v>
      </c>
    </row>
    <row r="48" spans="8:14" x14ac:dyDescent="0.25">
      <c r="H48" s="5" t="s">
        <v>40</v>
      </c>
      <c r="I48" s="6">
        <f>I47+F20+F21+F22+F23</f>
        <v>1.7969987695579235E-5</v>
      </c>
      <c r="J48" s="6">
        <f t="shared" si="21"/>
        <v>1.7969987695579236E-2</v>
      </c>
      <c r="K48" s="6">
        <f t="shared" si="22"/>
        <v>1.0141076577640653</v>
      </c>
      <c r="L48" s="10">
        <v>2.7309999999999999</v>
      </c>
      <c r="M48" s="6">
        <f t="shared" si="23"/>
        <v>154.11963882618511</v>
      </c>
      <c r="N48" s="6">
        <f t="shared" si="24"/>
        <v>309.78047404063204</v>
      </c>
    </row>
    <row r="49" spans="8:14" x14ac:dyDescent="0.25">
      <c r="H49" s="16" t="s">
        <v>41</v>
      </c>
      <c r="I49" s="17">
        <f>I48+F24+F25+F26+F27+F28+F29+F30+F31</f>
        <v>2.5705150931413711E-5</v>
      </c>
      <c r="J49" s="17">
        <f t="shared" si="21"/>
        <v>2.570515093141371E-2</v>
      </c>
      <c r="K49" s="17">
        <f t="shared" si="22"/>
        <v>1.4506292850684939</v>
      </c>
      <c r="L49" s="18">
        <v>2.9849999999999999</v>
      </c>
      <c r="M49" s="17">
        <f t="shared" si="23"/>
        <v>168.45372460496614</v>
      </c>
      <c r="N49" s="17">
        <f t="shared" si="24"/>
        <v>338.5919864559819</v>
      </c>
    </row>
  </sheetData>
  <mergeCells count="2">
    <mergeCell ref="J2:U4"/>
    <mergeCell ref="AI2:AT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9B35B-A0C5-4449-8AD8-8A6B9A9781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CH3OH</vt:lpstr>
      <vt:lpstr>Toluene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</dc:creator>
  <cp:lastModifiedBy>Sajjad Ghojavand</cp:lastModifiedBy>
  <dcterms:created xsi:type="dcterms:W3CDTF">2015-06-05T18:17:20Z</dcterms:created>
  <dcterms:modified xsi:type="dcterms:W3CDTF">2026-09-28T14:33:46Z</dcterms:modified>
</cp:coreProperties>
</file>